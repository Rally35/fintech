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zemekbiernat/Desktop/Docker/app/"/>
    </mc:Choice>
  </mc:AlternateContent>
  <xr:revisionPtr revIDLastSave="0" documentId="13_ncr:1_{65E17CFF-F4FD-FC46-8932-AF80A6E21EB2}" xr6:coauthVersionLast="47" xr6:coauthVersionMax="47" xr10:uidLastSave="{00000000-0000-0000-0000-000000000000}"/>
  <bookViews>
    <workbookView xWindow="0" yWindow="0" windowWidth="28800" windowHeight="18000" xr2:uid="{4D0C5E2C-C57E-9141-BB37-3F25EF873003}"/>
  </bookViews>
  <sheets>
    <sheet name="Sheet1" sheetId="2" r:id="rId1"/>
    <sheet name="Sheet2" sheetId="3" r:id="rId2"/>
    <sheet name="Sheet3" sheetId="4" r:id="rId3"/>
  </sheets>
  <definedNames>
    <definedName name="_xlnm._FilterDatabase" localSheetId="0" hidden="1">Sheet1!$A$1:$BC$6</definedName>
    <definedName name="_xlnm._FilterDatabase" localSheetId="2" hidden="1">Sheet3!$G$2:$I$43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6" i="2" l="1"/>
  <c r="BC24" i="2"/>
  <c r="BC29" i="2"/>
  <c r="BC32" i="2"/>
  <c r="BC37" i="2"/>
  <c r="BC40" i="2"/>
  <c r="BB3" i="2"/>
  <c r="BC3" i="2" s="1"/>
  <c r="BB4" i="2"/>
  <c r="BC4" i="2" s="1"/>
  <c r="BB5" i="2"/>
  <c r="BC5" i="2" s="1"/>
  <c r="BB6" i="2"/>
  <c r="BC6" i="2" s="1"/>
  <c r="BB7" i="2"/>
  <c r="BC7" i="2" s="1"/>
  <c r="BB8" i="2"/>
  <c r="BC8" i="2" s="1"/>
  <c r="BB9" i="2"/>
  <c r="BC9" i="2" s="1"/>
  <c r="BB10" i="2"/>
  <c r="BC10" i="2" s="1"/>
  <c r="BB11" i="2"/>
  <c r="BC11" i="2" s="1"/>
  <c r="BB12" i="2"/>
  <c r="BC12" i="2" s="1"/>
  <c r="BB13" i="2"/>
  <c r="BC13" i="2" s="1"/>
  <c r="BB14" i="2"/>
  <c r="BC14" i="2" s="1"/>
  <c r="BB15" i="2"/>
  <c r="BC15" i="2" s="1"/>
  <c r="BB16" i="2"/>
  <c r="BB17" i="2"/>
  <c r="BC17" i="2" s="1"/>
  <c r="BB18" i="2"/>
  <c r="BC18" i="2" s="1"/>
  <c r="BB19" i="2"/>
  <c r="BC19" i="2" s="1"/>
  <c r="BB20" i="2"/>
  <c r="BC20" i="2" s="1"/>
  <c r="BB21" i="2"/>
  <c r="BC21" i="2" s="1"/>
  <c r="BB22" i="2"/>
  <c r="BC22" i="2" s="1"/>
  <c r="BB23" i="2"/>
  <c r="BC23" i="2" s="1"/>
  <c r="BB24" i="2"/>
  <c r="BB25" i="2"/>
  <c r="BC25" i="2" s="1"/>
  <c r="BB26" i="2"/>
  <c r="BC26" i="2" s="1"/>
  <c r="BB27" i="2"/>
  <c r="BC27" i="2" s="1"/>
  <c r="BB28" i="2"/>
  <c r="BC28" i="2" s="1"/>
  <c r="BB29" i="2"/>
  <c r="BB30" i="2"/>
  <c r="BC30" i="2" s="1"/>
  <c r="BB31" i="2"/>
  <c r="BC31" i="2" s="1"/>
  <c r="BB32" i="2"/>
  <c r="BB33" i="2"/>
  <c r="BC33" i="2" s="1"/>
  <c r="BB34" i="2"/>
  <c r="BC34" i="2" s="1"/>
  <c r="BB35" i="2"/>
  <c r="BC35" i="2" s="1"/>
  <c r="BB36" i="2"/>
  <c r="BC36" i="2" s="1"/>
  <c r="BB37" i="2"/>
  <c r="BB38" i="2"/>
  <c r="BC38" i="2" s="1"/>
  <c r="BB39" i="2"/>
  <c r="BC39" i="2" s="1"/>
  <c r="BB40" i="2"/>
  <c r="BB41" i="2"/>
  <c r="BC41" i="2" s="1"/>
  <c r="BB42" i="2"/>
  <c r="BC42" i="2" s="1"/>
  <c r="BB2" i="2"/>
  <c r="BC2" i="2" s="1"/>
  <c r="J3" i="4" l="1"/>
  <c r="J4" i="4"/>
  <c r="J5" i="4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2" i="2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</calcChain>
</file>

<file path=xl/sharedStrings.xml><?xml version="1.0" encoding="utf-8"?>
<sst xmlns="http://schemas.openxmlformats.org/spreadsheetml/2006/main" count="307" uniqueCount="65">
  <si>
    <t>Ticker</t>
  </si>
  <si>
    <t>Rok</t>
  </si>
  <si>
    <t>Przychody</t>
  </si>
  <si>
    <t>Zysk_Netto</t>
  </si>
  <si>
    <t>EBITDA</t>
  </si>
  <si>
    <t>Kapital_Wlasny</t>
  </si>
  <si>
    <t>Dlug_Netto</t>
  </si>
  <si>
    <t>Przeplywy_Operacyjne</t>
  </si>
  <si>
    <t>Liczba_Akcji</t>
  </si>
  <si>
    <t>Cena_Akcji</t>
  </si>
  <si>
    <t>Dywidenda_na_Akcje</t>
  </si>
  <si>
    <t>TXT.WA</t>
  </si>
  <si>
    <t>Waluta</t>
  </si>
  <si>
    <t>Kwartal</t>
  </si>
  <si>
    <t>Koszty_Sprzedanych_Produktow</t>
  </si>
  <si>
    <t>Zysk_Brutto_Ze_Sprzedazy</t>
  </si>
  <si>
    <t>Koszty_Operacyjne</t>
  </si>
  <si>
    <t>Amortyzacja</t>
  </si>
  <si>
    <t>EBIT</t>
  </si>
  <si>
    <t>Przychody_Finansowe</t>
  </si>
  <si>
    <t>Koszty_Finansowe</t>
  </si>
  <si>
    <t>Zysk_Brutto</t>
  </si>
  <si>
    <t>Podatek_Dochodowy</t>
  </si>
  <si>
    <t>Zysk_Netto_Jednostki_Dominujacej</t>
  </si>
  <si>
    <t>Aktywa_Obrotowe</t>
  </si>
  <si>
    <t>Srodki_Pieniezne</t>
  </si>
  <si>
    <t>Naleznosci_Krotkoterminowe</t>
  </si>
  <si>
    <t>Zapasy</t>
  </si>
  <si>
    <t>Pozostale_Aktywa_Obrotowe</t>
  </si>
  <si>
    <t>Aktywa_Trwale</t>
  </si>
  <si>
    <t>Rzeczowe_Aktywa_Trwale</t>
  </si>
  <si>
    <t>Wartosci_Niematerialne</t>
  </si>
  <si>
    <t>Inwestycje_Dlugoterminowe</t>
  </si>
  <si>
    <t>Pozostale_Aktywa_Trwale</t>
  </si>
  <si>
    <t>Aktywa_Razem</t>
  </si>
  <si>
    <t>Zobowiazania_Krotkoterminowe</t>
  </si>
  <si>
    <t>Dlug_Krotkoterminowy</t>
  </si>
  <si>
    <t>Zobowiazania_Handlowe</t>
  </si>
  <si>
    <t>Pozostale_Zobowiazania_Krotkoterminowe</t>
  </si>
  <si>
    <t>Zobowiazania_Dlugoterminowe</t>
  </si>
  <si>
    <t>Dlug_Dlugoterminowy</t>
  </si>
  <si>
    <t>Pozostale_Zobowiazania_Dlugoterminowe</t>
  </si>
  <si>
    <t>Kapital_Zakladowy</t>
  </si>
  <si>
    <t>Kapital_Zapasowy</t>
  </si>
  <si>
    <t>Zyski_Zatrzymane</t>
  </si>
  <si>
    <t>Pasywa_Razem</t>
  </si>
  <si>
    <t>Przeplywy_Inwestycyjne</t>
  </si>
  <si>
    <t>Przeplywy_Finansowe</t>
  </si>
  <si>
    <t>Zmiana_Stanu_Srodkow</t>
  </si>
  <si>
    <t>Capex</t>
  </si>
  <si>
    <t>Free_Cash_Flow</t>
  </si>
  <si>
    <t>Dywidenda_Calkowita</t>
  </si>
  <si>
    <t>Koszty_Wynagrodzen</t>
  </si>
  <si>
    <t>Liczba_Pracownikow</t>
  </si>
  <si>
    <t>Dlug_Brutto</t>
  </si>
  <si>
    <t>PLN</t>
  </si>
  <si>
    <t>Q1</t>
  </si>
  <si>
    <t>Q2</t>
  </si>
  <si>
    <t>Q3</t>
  </si>
  <si>
    <t>Q4</t>
  </si>
  <si>
    <t>year</t>
  </si>
  <si>
    <t>q</t>
  </si>
  <si>
    <t>val</t>
  </si>
  <si>
    <t>Data_publikacji</t>
  </si>
  <si>
    <t>PCR.WA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</si>
</sst>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"/>
  </numFmts>
  <fonts count="6" x14ac:knownFonts="1"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name val="Aptos Narrow"/>
      <family val="2"/>
      <scheme val="minor"/>
    </font>
    <font>
      <sz val="13"/>
      <color rgb="FF333333"/>
      <name val="Lucida Grande"/>
      <family val="2"/>
    </font>
    <font>
      <b/>
      <sz val="13"/>
      <color rgb="FF333333"/>
      <name val="Lucida Grande"/>
      <family val="2"/>
    </font>
    <font>
      <b/>
      <sz val="1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5" borderId="1" xfId="0" applyFont="1" applyFill="1" applyBorder="1"/>
    <xf numFmtId="0" fontId="1" fillId="4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1" fillId="11" borderId="1" xfId="0" applyFont="1" applyFill="1" applyBorder="1"/>
    <xf numFmtId="0" fontId="1" fillId="13" borderId="1" xfId="0" applyFont="1" applyFill="1" applyBorder="1"/>
    <xf numFmtId="0" fontId="2" fillId="0" borderId="0" xfId="0" applyFont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8" borderId="0" xfId="0" applyFont="1" applyFill="1"/>
    <xf numFmtId="0" fontId="2" fillId="10" borderId="0" xfId="0" applyFont="1" applyFill="1"/>
    <xf numFmtId="0" fontId="2" fillId="12" borderId="0" xfId="0" applyFont="1" applyFill="1"/>
    <xf numFmtId="3" fontId="0" fillId="0" borderId="0" xfId="0" applyNumberFormat="1"/>
    <xf numFmtId="3" fontId="3" fillId="0" borderId="0" xfId="0" applyNumberFormat="1" applyFont="1"/>
    <xf numFmtId="0" fontId="3" fillId="0" borderId="0" xfId="0" applyFont="1"/>
    <xf numFmtId="3" fontId="4" fillId="0" borderId="0" xfId="0" applyNumberFormat="1" applyFont="1"/>
    <xf numFmtId="2" fontId="2" fillId="12" borderId="0" xfId="0" applyNumberFormat="1" applyFont="1" applyFill="1"/>
    <xf numFmtId="0" fontId="4" fillId="0" borderId="0" xfId="0" applyFont="1"/>
    <xf numFmtId="164" fontId="5" fillId="14" borderId="2" xfId="0" applyNumberFormat="1" applyFont="1" applyFill="1" applyBorder="1" applyAlignment="1" applyProtection="1">
      <alignment horizontal="right" vertical="center"/>
      <protection hidden="1"/>
    </xf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10A8D9-990C-EA42-B2D8-19A6B91D494C}">
  <we:reference id="0986d9dd-94f1-4b67-978d-c4cf6e6142a8" version="21.5.1.1" store="EXCatalog" storeType="EXCatalog"/>
  <we:alternateReferences>
    <we:reference id="WA200000018" version="21.5.1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D845-C0A1-6144-B026-372543A373DB}">
  <dimension ref="A1:BC43"/>
  <sheetViews>
    <sheetView tabSelected="1" topLeftCell="AC1" zoomScale="115" workbookViewId="0">
      <pane ySplit="1" topLeftCell="A18" activePane="bottomLeft" state="frozen"/>
      <selection pane="bottomLeft" activeCell="AF28" sqref="AF28"/>
    </sheetView>
  </sheetViews>
  <sheetFormatPr baseColWidth="10" defaultRowHeight="16" x14ac:dyDescent="0.2"/>
  <cols>
    <col min="1" max="1" width="9.6640625" style="9" bestFit="1" customWidth="1"/>
    <col min="2" max="2" width="10.5" style="9" bestFit="1" customWidth="1"/>
    <col min="3" max="3" width="19" style="9" bestFit="1" customWidth="1"/>
    <col min="4" max="4" width="7.33203125" style="9" bestFit="1" customWidth="1"/>
    <col min="5" max="5" width="11" style="9" bestFit="1" customWidth="1"/>
    <col min="6" max="6" width="13.5" style="10" bestFit="1" customWidth="1"/>
    <col min="7" max="7" width="35" style="10" bestFit="1" customWidth="1"/>
    <col min="8" max="8" width="29.5" style="10" bestFit="1" customWidth="1"/>
    <col min="9" max="9" width="22" style="10" bestFit="1" customWidth="1"/>
    <col min="10" max="10" width="10.6640625" style="10" bestFit="1" customWidth="1"/>
    <col min="11" max="11" width="15.6640625" style="10" bestFit="1" customWidth="1"/>
    <col min="12" max="12" width="7.83203125" style="10" bestFit="1" customWidth="1"/>
    <col min="13" max="13" width="25" style="10" bestFit="1" customWidth="1"/>
    <col min="14" max="14" width="21.1640625" style="10" bestFit="1" customWidth="1"/>
    <col min="15" max="15" width="14.83203125" style="10" bestFit="1" customWidth="1"/>
    <col min="16" max="16" width="23.6640625" style="10" bestFit="1" customWidth="1"/>
    <col min="17" max="17" width="14.1640625" style="10" bestFit="1" customWidth="1"/>
    <col min="18" max="18" width="38.1640625" style="10" bestFit="1" customWidth="1"/>
    <col min="19" max="19" width="20.83203125" style="11" bestFit="1" customWidth="1"/>
    <col min="20" max="20" width="20.6640625" style="11" bestFit="1" customWidth="1"/>
    <col min="21" max="21" width="32.33203125" style="11" bestFit="1" customWidth="1"/>
    <col min="22" max="22" width="10.33203125" style="11" bestFit="1" customWidth="1"/>
    <col min="23" max="23" width="31.5" style="11" bestFit="1" customWidth="1"/>
    <col min="24" max="24" width="17.83203125" style="11" bestFit="1" customWidth="1"/>
    <col min="25" max="25" width="28.6640625" style="11" bestFit="1" customWidth="1"/>
    <col min="26" max="26" width="27.5" style="11" bestFit="1" customWidth="1"/>
    <col min="27" max="27" width="31" style="11" bestFit="1" customWidth="1"/>
    <col min="28" max="28" width="28.5" style="11" bestFit="1" customWidth="1"/>
    <col min="29" max="29" width="18" style="11" bestFit="1" customWidth="1"/>
    <col min="30" max="30" width="35" style="12" bestFit="1" customWidth="1"/>
    <col min="31" max="31" width="25.6640625" style="12" bestFit="1" customWidth="1"/>
    <col min="32" max="32" width="27.6640625" style="12" bestFit="1" customWidth="1"/>
    <col min="33" max="33" width="45.6640625" style="12" bestFit="1" customWidth="1"/>
    <col min="34" max="34" width="34" style="12" bestFit="1" customWidth="1"/>
    <col min="35" max="35" width="24.83203125" style="12" bestFit="1" customWidth="1"/>
    <col min="36" max="36" width="44.83203125" style="12" bestFit="1" customWidth="1"/>
    <col min="37" max="37" width="18.5" style="12" bestFit="1" customWidth="1"/>
    <col min="38" max="38" width="21.83203125" style="12" bestFit="1" customWidth="1"/>
    <col min="39" max="40" width="21" style="12" bestFit="1" customWidth="1"/>
    <col min="41" max="41" width="18.33203125" style="12" bestFit="1" customWidth="1"/>
    <col min="42" max="42" width="25.6640625" style="13" bestFit="1" customWidth="1"/>
    <col min="43" max="43" width="27" style="13" bestFit="1" customWidth="1"/>
    <col min="44" max="44" width="24.83203125" style="13" bestFit="1" customWidth="1"/>
    <col min="45" max="45" width="27" style="13" bestFit="1" customWidth="1"/>
    <col min="46" max="46" width="9.6640625" style="13" bestFit="1" customWidth="1"/>
    <col min="47" max="47" width="19.5" style="13" bestFit="1" customWidth="1"/>
    <col min="48" max="48" width="15.83203125" style="14" bestFit="1" customWidth="1"/>
    <col min="49" max="49" width="14.6640625" style="14" bestFit="1" customWidth="1"/>
    <col min="50" max="50" width="24.33203125" style="14" bestFit="1" customWidth="1"/>
    <col min="51" max="51" width="25.1640625" style="14" bestFit="1" customWidth="1"/>
    <col min="52" max="53" width="24" style="14" bestFit="1" customWidth="1"/>
    <col min="54" max="54" width="14.83203125" style="14" bestFit="1" customWidth="1"/>
    <col min="55" max="55" width="14.1640625" style="14" bestFit="1" customWidth="1"/>
    <col min="56" max="16384" width="10.83203125" style="7"/>
  </cols>
  <sheetData>
    <row r="1" spans="1:55" ht="19" x14ac:dyDescent="0.25">
      <c r="A1" s="1" t="s">
        <v>0</v>
      </c>
      <c r="B1" s="1" t="s">
        <v>12</v>
      </c>
      <c r="C1" s="1" t="s">
        <v>63</v>
      </c>
      <c r="D1" s="1" t="s">
        <v>1</v>
      </c>
      <c r="E1" s="1" t="s">
        <v>13</v>
      </c>
      <c r="F1" s="2" t="s">
        <v>2</v>
      </c>
      <c r="G1" s="2" t="s">
        <v>14</v>
      </c>
      <c r="H1" s="2" t="s">
        <v>15</v>
      </c>
      <c r="I1" s="2" t="s">
        <v>16</v>
      </c>
      <c r="J1" s="2" t="s">
        <v>4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3</v>
      </c>
      <c r="R1" s="2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4" t="s">
        <v>35</v>
      </c>
      <c r="AE1" s="4" t="s">
        <v>36</v>
      </c>
      <c r="AF1" s="4" t="s">
        <v>37</v>
      </c>
      <c r="AG1" s="4" t="s">
        <v>38</v>
      </c>
      <c r="AH1" s="4" t="s">
        <v>39</v>
      </c>
      <c r="AI1" s="4" t="s">
        <v>40</v>
      </c>
      <c r="AJ1" s="4" t="s">
        <v>41</v>
      </c>
      <c r="AK1" s="4" t="s">
        <v>5</v>
      </c>
      <c r="AL1" s="4" t="s">
        <v>42</v>
      </c>
      <c r="AM1" s="4" t="s">
        <v>43</v>
      </c>
      <c r="AN1" s="4" t="s">
        <v>44</v>
      </c>
      <c r="AO1" s="4" t="s">
        <v>45</v>
      </c>
      <c r="AP1" s="5" t="s">
        <v>7</v>
      </c>
      <c r="AQ1" s="5" t="s">
        <v>46</v>
      </c>
      <c r="AR1" s="5" t="s">
        <v>47</v>
      </c>
      <c r="AS1" s="5" t="s">
        <v>48</v>
      </c>
      <c r="AT1" s="5" t="s">
        <v>49</v>
      </c>
      <c r="AU1" s="5" t="s">
        <v>50</v>
      </c>
      <c r="AV1" s="6" t="s">
        <v>8</v>
      </c>
      <c r="AW1" s="6" t="s">
        <v>9</v>
      </c>
      <c r="AX1" s="6" t="s">
        <v>10</v>
      </c>
      <c r="AY1" s="6" t="s">
        <v>51</v>
      </c>
      <c r="AZ1" s="6" t="s">
        <v>52</v>
      </c>
      <c r="BA1" s="6" t="s">
        <v>53</v>
      </c>
      <c r="BB1" s="6" t="s">
        <v>54</v>
      </c>
      <c r="BC1" s="6" t="s">
        <v>6</v>
      </c>
    </row>
    <row r="2" spans="1:55" x14ac:dyDescent="0.2">
      <c r="A2" s="9" t="s">
        <v>11</v>
      </c>
      <c r="B2" s="9" t="s">
        <v>55</v>
      </c>
      <c r="C2" s="22">
        <v>45897</v>
      </c>
      <c r="D2" s="9">
        <v>2025</v>
      </c>
      <c r="E2" s="9" t="s">
        <v>56</v>
      </c>
      <c r="F2" s="10">
        <v>84798000</v>
      </c>
      <c r="G2" s="10">
        <v>35243000</v>
      </c>
      <c r="J2" s="10">
        <v>41628000</v>
      </c>
      <c r="K2" s="10">
        <v>6385000</v>
      </c>
      <c r="M2" s="10">
        <v>74000</v>
      </c>
      <c r="N2" s="10">
        <v>913000</v>
      </c>
      <c r="O2" s="10">
        <v>34404000</v>
      </c>
      <c r="P2" s="10">
        <v>3380000</v>
      </c>
      <c r="Q2" s="10">
        <v>31024000</v>
      </c>
      <c r="S2" s="11">
        <v>166256000</v>
      </c>
      <c r="T2" s="11">
        <v>103237000</v>
      </c>
      <c r="U2" s="11">
        <v>61531000</v>
      </c>
      <c r="V2" s="11">
        <v>0</v>
      </c>
      <c r="W2" s="11">
        <v>1488000</v>
      </c>
      <c r="X2" s="11">
        <v>90110000</v>
      </c>
      <c r="Y2" s="11">
        <v>6132000</v>
      </c>
      <c r="Z2" s="11">
        <v>78561000</v>
      </c>
      <c r="AA2" s="11">
        <v>0</v>
      </c>
      <c r="AB2" s="11">
        <v>5257000</v>
      </c>
      <c r="AC2" s="11">
        <v>256366000</v>
      </c>
      <c r="AD2" s="12">
        <v>83855000</v>
      </c>
      <c r="AH2" s="12">
        <v>5312790</v>
      </c>
      <c r="AJ2" s="12">
        <v>0</v>
      </c>
      <c r="AK2" s="12">
        <v>167198000</v>
      </c>
      <c r="AN2" s="12">
        <v>98303000</v>
      </c>
      <c r="AO2" s="12">
        <v>256366000</v>
      </c>
      <c r="AP2" s="13">
        <v>33976000</v>
      </c>
      <c r="AQ2" s="13">
        <v>-8135000</v>
      </c>
      <c r="AR2" s="13">
        <v>-308000</v>
      </c>
      <c r="AT2" s="13">
        <v>8209000</v>
      </c>
      <c r="AV2" s="14">
        <v>25750000</v>
      </c>
      <c r="AW2" s="14">
        <v>59.15</v>
      </c>
      <c r="AX2" s="19">
        <f>AY2/AV2</f>
        <v>0</v>
      </c>
      <c r="AY2" s="14">
        <v>0</v>
      </c>
      <c r="BA2" s="14">
        <v>280</v>
      </c>
      <c r="BB2" s="14">
        <f>AE2+AI2</f>
        <v>0</v>
      </c>
      <c r="BC2" s="14">
        <f>BB2-T2</f>
        <v>-103237000</v>
      </c>
    </row>
    <row r="3" spans="1:55" x14ac:dyDescent="0.2">
      <c r="A3" s="9" t="s">
        <v>11</v>
      </c>
      <c r="B3" s="9" t="s">
        <v>55</v>
      </c>
      <c r="C3" s="22">
        <v>45835</v>
      </c>
      <c r="D3" s="9">
        <v>2024</v>
      </c>
      <c r="E3" s="9" t="s">
        <v>59</v>
      </c>
      <c r="F3" s="10">
        <v>89009000</v>
      </c>
      <c r="G3" s="10">
        <v>40796000</v>
      </c>
      <c r="J3" s="10">
        <v>47288092</v>
      </c>
      <c r="K3" s="10">
        <v>6492000</v>
      </c>
      <c r="Q3" s="10">
        <v>36824000</v>
      </c>
      <c r="S3" s="11">
        <v>137590000</v>
      </c>
      <c r="T3" s="11">
        <v>77704000</v>
      </c>
      <c r="U3" s="11">
        <v>57990000</v>
      </c>
      <c r="V3" s="11">
        <v>0</v>
      </c>
      <c r="W3" s="11">
        <v>1896000</v>
      </c>
      <c r="X3" s="11">
        <v>89115000</v>
      </c>
      <c r="Y3" s="11">
        <v>6306000</v>
      </c>
      <c r="Z3" s="11">
        <v>76563000</v>
      </c>
      <c r="AA3" s="11">
        <v>0</v>
      </c>
      <c r="AB3" s="11">
        <v>6086000</v>
      </c>
      <c r="AC3" s="11">
        <v>226705000</v>
      </c>
      <c r="AD3" s="12">
        <v>83894000</v>
      </c>
      <c r="AH3" s="12">
        <v>6393000</v>
      </c>
      <c r="AJ3" s="12">
        <v>0</v>
      </c>
      <c r="AK3" s="12">
        <v>136418000</v>
      </c>
      <c r="AN3" s="12">
        <v>68206000</v>
      </c>
      <c r="AO3" s="12">
        <v>226705000</v>
      </c>
      <c r="AP3" s="13">
        <v>40299000</v>
      </c>
      <c r="AQ3" s="13">
        <v>-7475000</v>
      </c>
      <c r="AR3" s="13">
        <v>-43108000</v>
      </c>
      <c r="AT3" s="13">
        <v>7475000</v>
      </c>
      <c r="AV3" s="14">
        <v>25750000</v>
      </c>
      <c r="AW3" s="14">
        <v>52.9</v>
      </c>
      <c r="AX3" s="19">
        <f t="shared" ref="AX3:AX42" si="0">AY3/AV3</f>
        <v>1.66</v>
      </c>
      <c r="AY3" s="14">
        <v>42745000</v>
      </c>
      <c r="BA3" s="14">
        <v>254</v>
      </c>
      <c r="BB3" s="14">
        <f t="shared" ref="BB3:BB42" si="1">AE3+AI3</f>
        <v>0</v>
      </c>
      <c r="BC3" s="14">
        <f t="shared" ref="BC3:BC42" si="2">BB3-T3</f>
        <v>-77704000</v>
      </c>
    </row>
    <row r="4" spans="1:55" x14ac:dyDescent="0.2">
      <c r="A4" s="9" t="s">
        <v>11</v>
      </c>
      <c r="B4" s="9" t="s">
        <v>55</v>
      </c>
      <c r="C4" s="22">
        <v>45715</v>
      </c>
      <c r="D4" s="9">
        <v>2024</v>
      </c>
      <c r="E4" s="9" t="s">
        <v>58</v>
      </c>
      <c r="F4" s="10">
        <v>88917000</v>
      </c>
      <c r="G4" s="10">
        <v>43582000</v>
      </c>
      <c r="J4" s="10">
        <v>49770000</v>
      </c>
      <c r="K4" s="10">
        <v>6188000</v>
      </c>
      <c r="Q4" s="10">
        <v>41267000</v>
      </c>
      <c r="S4" s="11">
        <v>145306000</v>
      </c>
      <c r="T4" s="11">
        <v>87988000</v>
      </c>
      <c r="U4" s="11">
        <v>56220000</v>
      </c>
      <c r="V4" s="11">
        <v>0</v>
      </c>
      <c r="W4" s="11">
        <v>1098000</v>
      </c>
      <c r="X4" s="11">
        <v>82207000</v>
      </c>
      <c r="Y4" s="11">
        <v>1614000</v>
      </c>
      <c r="Z4" s="11">
        <v>74828000</v>
      </c>
      <c r="AA4" s="11">
        <v>0</v>
      </c>
      <c r="AB4" s="11">
        <v>5605000</v>
      </c>
      <c r="AC4" s="11">
        <v>227513000</v>
      </c>
      <c r="AD4" s="12">
        <v>81976000</v>
      </c>
      <c r="AH4" s="12">
        <v>3041000</v>
      </c>
      <c r="AJ4" s="12">
        <v>0</v>
      </c>
      <c r="AK4" s="12">
        <v>142496000</v>
      </c>
      <c r="AN4" s="12">
        <v>74132000</v>
      </c>
      <c r="AO4" s="12">
        <v>227513000</v>
      </c>
      <c r="AP4" s="13">
        <v>43338000</v>
      </c>
      <c r="AQ4" s="13">
        <v>-7855000</v>
      </c>
      <c r="AR4" s="13">
        <v>-244000</v>
      </c>
      <c r="AT4" s="13">
        <v>7855000</v>
      </c>
      <c r="AV4" s="14">
        <v>25750000</v>
      </c>
      <c r="AW4" s="14">
        <v>65.8</v>
      </c>
      <c r="AX4" s="19">
        <f t="shared" si="0"/>
        <v>0</v>
      </c>
      <c r="AY4" s="14">
        <v>0</v>
      </c>
      <c r="BA4" s="14">
        <v>254</v>
      </c>
      <c r="BB4" s="14">
        <f t="shared" si="1"/>
        <v>0</v>
      </c>
      <c r="BC4" s="14">
        <f t="shared" si="2"/>
        <v>-87988000</v>
      </c>
    </row>
    <row r="5" spans="1:55" x14ac:dyDescent="0.2">
      <c r="A5" s="9" t="s">
        <v>11</v>
      </c>
      <c r="B5" s="9" t="s">
        <v>55</v>
      </c>
      <c r="C5" s="22">
        <v>45623</v>
      </c>
      <c r="D5" s="9">
        <v>2024</v>
      </c>
      <c r="E5" s="9" t="s">
        <v>57</v>
      </c>
      <c r="F5" s="10">
        <v>89412000</v>
      </c>
      <c r="G5" s="10">
        <v>46056000</v>
      </c>
      <c r="J5" s="10">
        <v>51932000</v>
      </c>
      <c r="K5" s="10">
        <v>5877000</v>
      </c>
      <c r="Q5" s="10">
        <v>42601000</v>
      </c>
      <c r="S5" s="11">
        <v>105933000</v>
      </c>
      <c r="T5" s="11">
        <v>52749000</v>
      </c>
      <c r="U5" s="11">
        <v>52456000</v>
      </c>
      <c r="V5" s="11">
        <v>0</v>
      </c>
      <c r="W5" s="11">
        <v>728000</v>
      </c>
      <c r="X5" s="11">
        <v>81422000</v>
      </c>
      <c r="Y5" s="11">
        <v>1789000</v>
      </c>
      <c r="Z5" s="11">
        <v>73368000</v>
      </c>
      <c r="AA5" s="11">
        <v>0</v>
      </c>
      <c r="AB5" s="11">
        <v>6105000</v>
      </c>
      <c r="AC5" s="11">
        <v>187355000</v>
      </c>
      <c r="AD5" s="12">
        <v>82433000</v>
      </c>
      <c r="AH5" s="12">
        <v>3864000</v>
      </c>
      <c r="AJ5" s="12">
        <v>0</v>
      </c>
      <c r="AK5" s="12">
        <v>101058000</v>
      </c>
      <c r="AN5" s="12">
        <v>32732000</v>
      </c>
      <c r="AO5" s="12">
        <v>187355000</v>
      </c>
      <c r="AP5" s="13">
        <v>44104000</v>
      </c>
      <c r="AQ5" s="13">
        <v>-7666000</v>
      </c>
      <c r="AR5" s="13">
        <v>-111758000</v>
      </c>
      <c r="AT5" s="13">
        <v>7666000</v>
      </c>
      <c r="AV5" s="14">
        <v>25750000</v>
      </c>
      <c r="AW5" s="14">
        <v>73.5</v>
      </c>
      <c r="AX5" s="19">
        <f t="shared" si="0"/>
        <v>4.3500194174757283</v>
      </c>
      <c r="AY5" s="14">
        <v>112013000</v>
      </c>
      <c r="BA5" s="14">
        <v>254</v>
      </c>
      <c r="BB5" s="14">
        <f t="shared" si="1"/>
        <v>0</v>
      </c>
      <c r="BC5" s="14">
        <f t="shared" si="2"/>
        <v>-52749000</v>
      </c>
    </row>
    <row r="6" spans="1:55" ht="17" x14ac:dyDescent="0.2">
      <c r="A6" s="8" t="s">
        <v>11</v>
      </c>
      <c r="B6" s="9" t="s">
        <v>55</v>
      </c>
      <c r="C6" s="22">
        <v>45533</v>
      </c>
      <c r="D6" s="9">
        <v>2024</v>
      </c>
      <c r="E6" s="9" t="s">
        <v>56</v>
      </c>
      <c r="F6" s="10">
        <v>86840000</v>
      </c>
      <c r="G6" s="10">
        <v>46933000</v>
      </c>
      <c r="J6" s="10">
        <v>52617000</v>
      </c>
      <c r="K6" s="10">
        <v>5684000</v>
      </c>
      <c r="O6" s="10">
        <v>46839000</v>
      </c>
      <c r="Q6" s="10">
        <v>43726000</v>
      </c>
      <c r="S6" s="11">
        <v>179815000</v>
      </c>
      <c r="T6" s="11">
        <v>128069000</v>
      </c>
      <c r="U6" s="11">
        <v>51176000</v>
      </c>
      <c r="V6" s="11">
        <v>0</v>
      </c>
      <c r="W6" s="11">
        <v>570000</v>
      </c>
      <c r="X6" s="11">
        <v>78899000</v>
      </c>
      <c r="Y6" s="11">
        <v>2008000</v>
      </c>
      <c r="Z6" s="11">
        <v>71141000</v>
      </c>
      <c r="AA6" s="11">
        <v>0</v>
      </c>
      <c r="AB6" s="11">
        <v>5590000</v>
      </c>
      <c r="AC6" s="11">
        <v>258714000</v>
      </c>
      <c r="AD6" s="12">
        <v>82298000</v>
      </c>
      <c r="AH6" s="12">
        <v>4367000</v>
      </c>
      <c r="AJ6" s="12">
        <v>0</v>
      </c>
      <c r="AK6" s="12">
        <v>172049000</v>
      </c>
      <c r="AN6" s="12">
        <v>115573000</v>
      </c>
      <c r="AO6" s="12">
        <v>258714000</v>
      </c>
      <c r="AP6" s="13">
        <v>51748000</v>
      </c>
      <c r="AQ6" s="13">
        <v>-7791000</v>
      </c>
      <c r="AR6" s="13">
        <v>-748000</v>
      </c>
      <c r="AT6" s="13">
        <v>7791000</v>
      </c>
      <c r="AV6" s="14">
        <v>25750000</v>
      </c>
      <c r="AW6" s="14">
        <v>76.599999999999994</v>
      </c>
      <c r="AX6" s="19">
        <f t="shared" si="0"/>
        <v>0</v>
      </c>
      <c r="AY6" s="14">
        <v>0</v>
      </c>
      <c r="BA6" s="14">
        <v>255</v>
      </c>
      <c r="BB6" s="14">
        <f t="shared" si="1"/>
        <v>0</v>
      </c>
      <c r="BC6" s="14">
        <f t="shared" si="2"/>
        <v>-128069000</v>
      </c>
    </row>
    <row r="7" spans="1:55" ht="17" x14ac:dyDescent="0.2">
      <c r="A7" s="8" t="s">
        <v>11</v>
      </c>
      <c r="B7" s="9" t="s">
        <v>55</v>
      </c>
      <c r="C7" s="22">
        <v>45470</v>
      </c>
      <c r="D7" s="9">
        <v>2023</v>
      </c>
      <c r="E7" s="9" t="s">
        <v>59</v>
      </c>
      <c r="F7" s="10">
        <v>83309000</v>
      </c>
      <c r="G7" s="10">
        <v>40908000</v>
      </c>
      <c r="J7" s="10">
        <v>46013000</v>
      </c>
      <c r="K7" s="10">
        <v>5105000</v>
      </c>
      <c r="Q7" s="10">
        <v>38049000</v>
      </c>
      <c r="S7" s="11">
        <v>133890000</v>
      </c>
      <c r="T7" s="11">
        <v>84860000</v>
      </c>
      <c r="U7" s="11">
        <v>48289000</v>
      </c>
      <c r="V7" s="11">
        <v>0</v>
      </c>
      <c r="W7" s="11">
        <v>741000</v>
      </c>
      <c r="X7" s="11">
        <v>76249000</v>
      </c>
      <c r="Y7" s="11">
        <v>2228000</v>
      </c>
      <c r="Z7" s="11">
        <v>69088000</v>
      </c>
      <c r="AA7" s="11">
        <v>0</v>
      </c>
      <c r="AB7" s="11">
        <v>4933000</v>
      </c>
      <c r="AC7" s="11">
        <v>210139000</v>
      </c>
      <c r="AD7" s="12">
        <v>81085000</v>
      </c>
      <c r="AH7" s="12">
        <v>2362000</v>
      </c>
      <c r="AJ7" s="12">
        <v>0</v>
      </c>
      <c r="AK7" s="12">
        <v>126692000</v>
      </c>
      <c r="AN7" s="12">
        <v>71107000</v>
      </c>
      <c r="AO7" s="12">
        <v>210139000</v>
      </c>
      <c r="AP7" s="13">
        <v>42858000</v>
      </c>
      <c r="AQ7" s="13">
        <v>-8288000</v>
      </c>
      <c r="AR7" s="13">
        <v>-41957000</v>
      </c>
      <c r="AT7" s="13">
        <v>8288000</v>
      </c>
      <c r="AV7" s="14">
        <v>25750000</v>
      </c>
      <c r="AW7" s="14">
        <v>90</v>
      </c>
      <c r="AX7" s="19">
        <f t="shared" si="0"/>
        <v>1.6300582524271845</v>
      </c>
      <c r="AY7" s="14">
        <v>41974000</v>
      </c>
      <c r="BB7" s="14">
        <f t="shared" si="1"/>
        <v>0</v>
      </c>
      <c r="BC7" s="14">
        <f t="shared" si="2"/>
        <v>-84860000</v>
      </c>
    </row>
    <row r="8" spans="1:55" ht="17" x14ac:dyDescent="0.2">
      <c r="A8" s="8" t="s">
        <v>11</v>
      </c>
      <c r="B8" s="9" t="s">
        <v>55</v>
      </c>
      <c r="C8" s="22">
        <v>45350</v>
      </c>
      <c r="D8" s="9">
        <v>2023</v>
      </c>
      <c r="E8" s="9" t="s">
        <v>58</v>
      </c>
      <c r="F8" s="10">
        <v>89368000</v>
      </c>
      <c r="G8" s="10">
        <v>47455000</v>
      </c>
      <c r="J8" s="10">
        <v>52467000</v>
      </c>
      <c r="K8" s="10">
        <v>5012000</v>
      </c>
      <c r="Q8" s="10">
        <v>43884000</v>
      </c>
      <c r="S8" s="11">
        <v>137286000</v>
      </c>
      <c r="T8" s="11">
        <v>92247000</v>
      </c>
      <c r="U8" s="11">
        <v>44120000</v>
      </c>
      <c r="V8" s="11">
        <v>0</v>
      </c>
      <c r="W8" s="11">
        <v>919000</v>
      </c>
      <c r="X8" s="11">
        <v>72350000</v>
      </c>
      <c r="Y8" s="11">
        <v>1459000</v>
      </c>
      <c r="Z8" s="11">
        <v>65917000</v>
      </c>
      <c r="AA8" s="11">
        <v>0</v>
      </c>
      <c r="AB8" s="11">
        <v>4773000</v>
      </c>
      <c r="AC8" s="11">
        <v>209636000</v>
      </c>
      <c r="AD8" s="12">
        <v>78767000</v>
      </c>
      <c r="AH8" s="12">
        <v>2227000</v>
      </c>
      <c r="AJ8" s="12">
        <v>0</v>
      </c>
      <c r="AK8" s="12">
        <v>128642000</v>
      </c>
      <c r="AN8" s="12">
        <v>75032000</v>
      </c>
      <c r="AO8" s="12">
        <v>209636000</v>
      </c>
      <c r="AP8" s="13">
        <v>43419000</v>
      </c>
      <c r="AQ8" s="13">
        <v>-7433000</v>
      </c>
      <c r="AR8" s="13">
        <v>-227000</v>
      </c>
      <c r="AT8" s="13">
        <v>7433000</v>
      </c>
      <c r="AV8" s="14">
        <v>25750000</v>
      </c>
      <c r="AW8" s="14">
        <v>115.8</v>
      </c>
      <c r="AX8" s="19">
        <f t="shared" si="0"/>
        <v>0</v>
      </c>
      <c r="AY8" s="14">
        <v>0</v>
      </c>
      <c r="BB8" s="14">
        <f t="shared" si="1"/>
        <v>0</v>
      </c>
      <c r="BC8" s="14">
        <f t="shared" si="2"/>
        <v>-92247000</v>
      </c>
    </row>
    <row r="9" spans="1:55" ht="17" x14ac:dyDescent="0.2">
      <c r="A9" s="8" t="s">
        <v>11</v>
      </c>
      <c r="B9" s="9" t="s">
        <v>55</v>
      </c>
      <c r="C9" s="22">
        <v>45274</v>
      </c>
      <c r="D9" s="9">
        <v>2023</v>
      </c>
      <c r="E9" s="9" t="s">
        <v>57</v>
      </c>
      <c r="F9" s="10">
        <v>79196000</v>
      </c>
      <c r="G9" s="10">
        <v>42271000</v>
      </c>
      <c r="J9" s="10">
        <v>46220000</v>
      </c>
      <c r="K9" s="10">
        <v>4751000</v>
      </c>
      <c r="Q9" s="10">
        <v>39453000</v>
      </c>
      <c r="S9" s="11">
        <v>98225000</v>
      </c>
      <c r="T9" s="11">
        <v>56488000</v>
      </c>
      <c r="U9" s="11">
        <v>40839000</v>
      </c>
      <c r="V9" s="11">
        <v>0</v>
      </c>
      <c r="W9" s="11">
        <v>898000</v>
      </c>
      <c r="X9" s="11">
        <v>70086000</v>
      </c>
      <c r="Y9" s="11">
        <v>1838000</v>
      </c>
      <c r="Z9" s="11">
        <v>63118000</v>
      </c>
      <c r="AA9" s="11">
        <v>0</v>
      </c>
      <c r="AB9" s="11">
        <v>4928000</v>
      </c>
      <c r="AC9" s="11">
        <v>168311000</v>
      </c>
      <c r="AD9" s="12">
        <v>76306000</v>
      </c>
      <c r="AH9" s="12">
        <v>1952000</v>
      </c>
      <c r="AJ9" s="12">
        <v>0</v>
      </c>
      <c r="AK9" s="12">
        <v>90053000</v>
      </c>
      <c r="AN9" s="12">
        <v>31148000</v>
      </c>
      <c r="AO9" s="12">
        <v>168311000</v>
      </c>
      <c r="AP9" s="13">
        <v>43629000</v>
      </c>
      <c r="AQ9" s="13">
        <v>-7468000</v>
      </c>
      <c r="AR9" s="13">
        <v>-115846000</v>
      </c>
      <c r="AT9" s="13">
        <v>7468000</v>
      </c>
      <c r="AV9" s="14">
        <v>25750000</v>
      </c>
      <c r="AW9" s="14">
        <v>145.4</v>
      </c>
      <c r="AX9" s="19">
        <f t="shared" si="0"/>
        <v>4.4899805825242716</v>
      </c>
      <c r="AY9" s="14">
        <v>115617000</v>
      </c>
      <c r="BB9" s="14">
        <f t="shared" si="1"/>
        <v>0</v>
      </c>
      <c r="BC9" s="14">
        <f t="shared" si="2"/>
        <v>-56488000</v>
      </c>
    </row>
    <row r="10" spans="1:55" ht="17" x14ac:dyDescent="0.2">
      <c r="A10" s="8" t="s">
        <v>11</v>
      </c>
      <c r="B10" s="9" t="s">
        <v>55</v>
      </c>
      <c r="C10" s="22">
        <v>45163</v>
      </c>
      <c r="D10" s="9">
        <v>2023</v>
      </c>
      <c r="E10" s="9" t="s">
        <v>56</v>
      </c>
      <c r="F10" s="10">
        <v>83476000</v>
      </c>
      <c r="G10" s="10">
        <v>48387000</v>
      </c>
      <c r="K10" s="10">
        <v>4501000</v>
      </c>
      <c r="Q10" s="10">
        <v>45167000</v>
      </c>
      <c r="S10" s="11">
        <v>175647000</v>
      </c>
      <c r="T10" s="11">
        <v>136173000</v>
      </c>
      <c r="U10" s="11">
        <v>38635000</v>
      </c>
      <c r="V10" s="11">
        <v>0</v>
      </c>
      <c r="W10" s="11">
        <v>839000</v>
      </c>
      <c r="X10" s="11">
        <v>63023000</v>
      </c>
      <c r="Y10" s="11">
        <v>2218000</v>
      </c>
      <c r="Z10" s="11">
        <v>60026000</v>
      </c>
      <c r="AA10" s="11">
        <v>0</v>
      </c>
      <c r="AB10" s="11">
        <v>578000</v>
      </c>
      <c r="AC10" s="11">
        <v>238670000</v>
      </c>
      <c r="AD10" s="12">
        <v>78408000</v>
      </c>
      <c r="AH10" s="12">
        <v>2342000</v>
      </c>
      <c r="AJ10" s="12">
        <v>0</v>
      </c>
      <c r="AK10" s="12">
        <v>161737000</v>
      </c>
      <c r="AN10" s="12">
        <v>126425000</v>
      </c>
      <c r="AO10" s="12">
        <v>242487000</v>
      </c>
      <c r="AP10" s="13">
        <v>47663000</v>
      </c>
      <c r="AQ10" s="13">
        <v>-7080000</v>
      </c>
      <c r="AR10" s="13">
        <v>-230000</v>
      </c>
      <c r="AT10" s="13">
        <v>7080000</v>
      </c>
      <c r="AV10" s="14">
        <v>25750000</v>
      </c>
      <c r="AW10" s="14">
        <v>128.80000000000001</v>
      </c>
      <c r="AX10" s="19">
        <f t="shared" si="0"/>
        <v>0</v>
      </c>
      <c r="AY10" s="14">
        <v>0</v>
      </c>
      <c r="BB10" s="14">
        <f t="shared" si="1"/>
        <v>0</v>
      </c>
      <c r="BC10" s="14">
        <f t="shared" si="2"/>
        <v>-136173000</v>
      </c>
    </row>
    <row r="11" spans="1:55" ht="17" x14ac:dyDescent="0.2">
      <c r="A11" s="8" t="s">
        <v>11</v>
      </c>
      <c r="B11" s="9" t="s">
        <v>55</v>
      </c>
      <c r="D11" s="9">
        <v>2022</v>
      </c>
      <c r="E11" s="9" t="s">
        <v>59</v>
      </c>
      <c r="F11" s="10">
        <v>88530000</v>
      </c>
      <c r="G11" s="10">
        <v>53301000</v>
      </c>
      <c r="K11" s="10">
        <v>3971000</v>
      </c>
      <c r="Q11" s="10">
        <v>49607000</v>
      </c>
      <c r="S11" s="11">
        <v>136956000</v>
      </c>
      <c r="T11" s="11">
        <v>95820000</v>
      </c>
      <c r="U11" s="11">
        <v>40269000</v>
      </c>
      <c r="V11" s="11">
        <v>0</v>
      </c>
      <c r="W11" s="11">
        <v>867000</v>
      </c>
      <c r="X11" s="11">
        <v>60375000</v>
      </c>
      <c r="Y11" s="11">
        <v>2673000</v>
      </c>
      <c r="Z11" s="11">
        <v>56992000</v>
      </c>
      <c r="AA11" s="11">
        <v>0</v>
      </c>
      <c r="AB11" s="11">
        <v>509000</v>
      </c>
      <c r="AC11" s="11">
        <v>197331000</v>
      </c>
      <c r="AD11" s="12">
        <v>82620000</v>
      </c>
      <c r="AH11" s="12">
        <v>2144000</v>
      </c>
      <c r="AJ11" s="12">
        <v>0</v>
      </c>
      <c r="AK11" s="12">
        <v>116586000</v>
      </c>
      <c r="AN11" s="12">
        <v>80657000</v>
      </c>
      <c r="AO11" s="12">
        <v>201350000</v>
      </c>
      <c r="AP11" s="13">
        <v>50129000</v>
      </c>
      <c r="AQ11" s="13">
        <v>-7334000</v>
      </c>
      <c r="AR11" s="13">
        <v>-37673000</v>
      </c>
      <c r="AT11" s="13">
        <v>7334000</v>
      </c>
      <c r="AV11" s="14">
        <v>25750000</v>
      </c>
      <c r="AW11" s="14">
        <v>143.19999999999999</v>
      </c>
      <c r="AX11" s="19">
        <f t="shared" si="0"/>
        <v>1.46</v>
      </c>
      <c r="AY11" s="14">
        <v>37595000</v>
      </c>
      <c r="BB11" s="14">
        <f t="shared" si="1"/>
        <v>0</v>
      </c>
      <c r="BC11" s="14">
        <f t="shared" si="2"/>
        <v>-95820000</v>
      </c>
    </row>
    <row r="12" spans="1:55" ht="17" x14ac:dyDescent="0.2">
      <c r="A12" s="8" t="s">
        <v>11</v>
      </c>
      <c r="B12" s="9" t="s">
        <v>55</v>
      </c>
      <c r="D12" s="9">
        <v>2022</v>
      </c>
      <c r="E12" s="9" t="s">
        <v>58</v>
      </c>
      <c r="F12" s="10">
        <v>85900000</v>
      </c>
      <c r="G12" s="10">
        <v>50930000</v>
      </c>
      <c r="K12" s="10">
        <v>3699000</v>
      </c>
      <c r="Q12" s="10">
        <v>47184000</v>
      </c>
      <c r="S12" s="11">
        <v>125534000</v>
      </c>
      <c r="T12" s="11">
        <v>90698000</v>
      </c>
      <c r="U12" s="11">
        <v>33903000</v>
      </c>
      <c r="V12" s="11">
        <v>0</v>
      </c>
      <c r="W12" s="11">
        <v>933000</v>
      </c>
      <c r="X12" s="11">
        <v>57062000</v>
      </c>
      <c r="Y12" s="11">
        <v>2889000</v>
      </c>
      <c r="Z12" s="11">
        <v>53413000</v>
      </c>
      <c r="AA12" s="11">
        <v>0</v>
      </c>
      <c r="AB12" s="11">
        <v>559000</v>
      </c>
      <c r="AC12" s="11">
        <v>182596000</v>
      </c>
      <c r="AD12" s="12">
        <v>75180000</v>
      </c>
      <c r="AH12" s="12">
        <v>1464000</v>
      </c>
      <c r="AJ12" s="12">
        <v>0</v>
      </c>
      <c r="AK12" s="12">
        <v>109684000</v>
      </c>
      <c r="AN12" s="12">
        <v>73132000</v>
      </c>
      <c r="AO12" s="12">
        <v>186328000</v>
      </c>
      <c r="AP12" s="13">
        <v>64504000</v>
      </c>
      <c r="AQ12" s="13">
        <v>-14647000</v>
      </c>
      <c r="AR12" s="13">
        <v>-204000</v>
      </c>
      <c r="AT12" s="13">
        <v>14647000</v>
      </c>
      <c r="AV12" s="14">
        <v>25750000</v>
      </c>
      <c r="AW12" s="14">
        <v>107</v>
      </c>
      <c r="AX12" s="19">
        <f t="shared" si="0"/>
        <v>-3.8834951456310678E-5</v>
      </c>
      <c r="AY12" s="14">
        <v>-1000</v>
      </c>
      <c r="BB12" s="14">
        <f t="shared" si="1"/>
        <v>0</v>
      </c>
      <c r="BC12" s="14">
        <f t="shared" si="2"/>
        <v>-90698000</v>
      </c>
    </row>
    <row r="13" spans="1:55" ht="17" x14ac:dyDescent="0.2">
      <c r="A13" s="8" t="s">
        <v>11</v>
      </c>
      <c r="B13" s="9" t="s">
        <v>55</v>
      </c>
      <c r="D13" s="9">
        <v>2022</v>
      </c>
      <c r="E13" s="9" t="s">
        <v>57</v>
      </c>
      <c r="F13" s="10">
        <v>74512000</v>
      </c>
      <c r="G13" s="10">
        <v>42552000</v>
      </c>
      <c r="K13" s="10">
        <v>3480000</v>
      </c>
      <c r="Q13" s="10">
        <v>39674000</v>
      </c>
      <c r="S13" s="11">
        <v>87880000</v>
      </c>
      <c r="T13" s="11">
        <v>41045000</v>
      </c>
      <c r="U13" s="11">
        <v>45835000</v>
      </c>
      <c r="V13" s="11">
        <v>0</v>
      </c>
      <c r="W13" s="11">
        <v>1000000</v>
      </c>
      <c r="X13" s="11">
        <v>46124000</v>
      </c>
      <c r="Y13" s="11">
        <v>3024000</v>
      </c>
      <c r="Z13" s="11">
        <v>42330000</v>
      </c>
      <c r="AA13" s="11">
        <v>0</v>
      </c>
      <c r="AB13" s="11">
        <v>565000</v>
      </c>
      <c r="AC13" s="11">
        <v>134004000</v>
      </c>
      <c r="AD13" s="12">
        <v>67028000</v>
      </c>
      <c r="AH13" s="12">
        <v>1489000</v>
      </c>
      <c r="AJ13" s="12">
        <v>0</v>
      </c>
      <c r="AK13" s="12">
        <v>69283000</v>
      </c>
      <c r="AN13" s="12">
        <v>25888000</v>
      </c>
      <c r="AO13" s="12">
        <v>137800000</v>
      </c>
      <c r="AP13" s="13">
        <v>42814000</v>
      </c>
      <c r="AQ13" s="13">
        <v>-5543000</v>
      </c>
      <c r="AR13" s="13">
        <v>-84082000</v>
      </c>
      <c r="AT13" s="13">
        <v>5543000</v>
      </c>
      <c r="AV13" s="14">
        <v>25750000</v>
      </c>
      <c r="AW13" s="14">
        <v>108.8</v>
      </c>
      <c r="AX13" s="19">
        <f t="shared" si="0"/>
        <v>3.26</v>
      </c>
      <c r="AY13" s="14">
        <v>83945000</v>
      </c>
      <c r="BB13" s="14">
        <f t="shared" si="1"/>
        <v>0</v>
      </c>
      <c r="BC13" s="14">
        <f t="shared" si="2"/>
        <v>-41045000</v>
      </c>
    </row>
    <row r="14" spans="1:55" ht="17" x14ac:dyDescent="0.2">
      <c r="A14" s="8" t="s">
        <v>11</v>
      </c>
      <c r="B14" s="9" t="s">
        <v>55</v>
      </c>
      <c r="D14" s="9">
        <v>2022</v>
      </c>
      <c r="E14" s="9" t="s">
        <v>56</v>
      </c>
      <c r="F14" s="10">
        <v>66780000</v>
      </c>
      <c r="G14" s="10">
        <v>38705000</v>
      </c>
      <c r="K14" s="10">
        <v>3328000</v>
      </c>
      <c r="Q14" s="10">
        <v>35892000</v>
      </c>
      <c r="S14" s="11">
        <v>131565000</v>
      </c>
      <c r="T14" s="11">
        <v>87856000</v>
      </c>
      <c r="U14" s="11">
        <v>43361000</v>
      </c>
      <c r="V14" s="11">
        <v>0</v>
      </c>
      <c r="W14" s="11">
        <v>348000</v>
      </c>
      <c r="X14" s="11">
        <v>43892000</v>
      </c>
      <c r="Y14" s="11">
        <v>3157000</v>
      </c>
      <c r="Z14" s="11">
        <v>40136000</v>
      </c>
      <c r="AA14" s="11">
        <v>0</v>
      </c>
      <c r="AB14" s="11">
        <v>401000</v>
      </c>
      <c r="AC14" s="11">
        <v>175457000</v>
      </c>
      <c r="AD14" s="12">
        <v>58678000</v>
      </c>
      <c r="AH14" s="12">
        <v>1683000</v>
      </c>
      <c r="AJ14" s="12">
        <v>0</v>
      </c>
      <c r="AK14" s="12">
        <v>118260000</v>
      </c>
      <c r="AN14" s="12">
        <v>82398000</v>
      </c>
      <c r="AO14" s="12">
        <v>178621000</v>
      </c>
      <c r="AP14" s="13">
        <v>37331000</v>
      </c>
      <c r="AQ14" s="13">
        <v>-4933000</v>
      </c>
      <c r="AR14" s="13">
        <v>-208000</v>
      </c>
      <c r="AT14" s="13">
        <v>4933000</v>
      </c>
      <c r="AV14" s="14">
        <v>25750000</v>
      </c>
      <c r="AW14" s="14">
        <v>98.5</v>
      </c>
      <c r="AX14" s="19">
        <f t="shared" si="0"/>
        <v>0</v>
      </c>
      <c r="AY14" s="14">
        <v>0</v>
      </c>
      <c r="BB14" s="14">
        <f t="shared" si="1"/>
        <v>0</v>
      </c>
      <c r="BC14" s="14">
        <f t="shared" si="2"/>
        <v>-87856000</v>
      </c>
    </row>
    <row r="15" spans="1:55" ht="17" x14ac:dyDescent="0.2">
      <c r="A15" s="8" t="s">
        <v>11</v>
      </c>
      <c r="B15" s="9" t="s">
        <v>55</v>
      </c>
      <c r="D15" s="9">
        <v>2021</v>
      </c>
      <c r="E15" s="9" t="s">
        <v>59</v>
      </c>
      <c r="F15" s="10">
        <v>61817000</v>
      </c>
      <c r="G15" s="10">
        <v>32247000</v>
      </c>
      <c r="K15" s="10">
        <v>3171000</v>
      </c>
      <c r="S15" s="11">
        <v>95521000</v>
      </c>
      <c r="T15" s="11">
        <v>55666000</v>
      </c>
      <c r="U15" s="11">
        <v>39444000</v>
      </c>
      <c r="V15" s="11">
        <v>0</v>
      </c>
      <c r="W15" s="11">
        <v>411000</v>
      </c>
      <c r="X15" s="11">
        <v>42231000</v>
      </c>
      <c r="Y15" s="11">
        <v>3232000</v>
      </c>
      <c r="Z15" s="11">
        <v>38456000</v>
      </c>
      <c r="AA15" s="11">
        <v>0</v>
      </c>
      <c r="AB15" s="11">
        <v>349000</v>
      </c>
      <c r="AC15" s="11">
        <v>137752000</v>
      </c>
      <c r="AD15" s="12">
        <v>52215000</v>
      </c>
      <c r="AH15" s="12">
        <v>1644000</v>
      </c>
      <c r="AJ15" s="12">
        <v>0</v>
      </c>
      <c r="AK15" s="12">
        <v>86748000</v>
      </c>
      <c r="AN15" s="12">
        <v>52208000</v>
      </c>
      <c r="AO15" s="12">
        <v>140607000</v>
      </c>
      <c r="AP15" s="13">
        <v>14505000</v>
      </c>
      <c r="AQ15" s="13">
        <v>-3900000</v>
      </c>
      <c r="AR15" s="13">
        <v>-29474000</v>
      </c>
      <c r="AT15" s="13">
        <v>3796000</v>
      </c>
      <c r="AV15" s="14">
        <v>25750000</v>
      </c>
      <c r="AX15" s="19">
        <f t="shared" si="0"/>
        <v>1.1399611650485437</v>
      </c>
      <c r="AY15" s="14">
        <v>29354000</v>
      </c>
      <c r="BB15" s="14">
        <f t="shared" si="1"/>
        <v>0</v>
      </c>
      <c r="BC15" s="14">
        <f t="shared" si="2"/>
        <v>-55666000</v>
      </c>
    </row>
    <row r="16" spans="1:55" ht="17" x14ac:dyDescent="0.2">
      <c r="A16" s="8" t="s">
        <v>11</v>
      </c>
      <c r="B16" s="9" t="s">
        <v>55</v>
      </c>
      <c r="D16" s="9">
        <v>2021</v>
      </c>
      <c r="E16" s="9" t="s">
        <v>58</v>
      </c>
      <c r="F16" s="10">
        <v>56130000</v>
      </c>
      <c r="G16" s="10">
        <v>31975000</v>
      </c>
      <c r="K16" s="10">
        <v>3064000</v>
      </c>
      <c r="S16" s="11">
        <v>99335000</v>
      </c>
      <c r="T16" s="11">
        <v>74534000</v>
      </c>
      <c r="U16" s="11">
        <v>24481000</v>
      </c>
      <c r="V16" s="11">
        <v>0</v>
      </c>
      <c r="W16" s="11">
        <v>320000</v>
      </c>
      <c r="X16" s="11">
        <v>40639000</v>
      </c>
      <c r="Y16" s="11">
        <v>3221000</v>
      </c>
      <c r="Z16" s="11">
        <v>36894000</v>
      </c>
      <c r="AA16" s="11">
        <v>0</v>
      </c>
      <c r="AB16" s="11">
        <v>335000</v>
      </c>
      <c r="AC16" s="11">
        <v>139974000</v>
      </c>
      <c r="AP16" s="13">
        <v>24023000</v>
      </c>
      <c r="AQ16" s="13">
        <v>-4840000</v>
      </c>
      <c r="AR16" s="13">
        <v>-200000</v>
      </c>
      <c r="AT16" s="13">
        <v>4968000</v>
      </c>
      <c r="AV16" s="14">
        <v>25750000</v>
      </c>
      <c r="AX16" s="19">
        <f t="shared" si="0"/>
        <v>0</v>
      </c>
      <c r="AY16" s="14">
        <v>0</v>
      </c>
      <c r="BB16" s="14">
        <f t="shared" si="1"/>
        <v>0</v>
      </c>
      <c r="BC16" s="14">
        <f t="shared" si="2"/>
        <v>-74534000</v>
      </c>
    </row>
    <row r="17" spans="1:55" ht="17" x14ac:dyDescent="0.2">
      <c r="A17" s="8" t="s">
        <v>11</v>
      </c>
      <c r="B17" s="9" t="s">
        <v>55</v>
      </c>
      <c r="D17" s="9">
        <v>2021</v>
      </c>
      <c r="E17" s="9" t="s">
        <v>57</v>
      </c>
      <c r="F17" s="10">
        <v>55659000</v>
      </c>
      <c r="G17" s="10">
        <v>35771000</v>
      </c>
      <c r="K17" s="10">
        <v>2792000</v>
      </c>
      <c r="S17" s="11">
        <v>80791000</v>
      </c>
      <c r="T17" s="11">
        <v>55552000</v>
      </c>
      <c r="U17" s="11">
        <v>24875000</v>
      </c>
      <c r="V17" s="11">
        <v>0</v>
      </c>
      <c r="W17" s="11">
        <v>364000</v>
      </c>
      <c r="X17" s="11">
        <v>39653000</v>
      </c>
      <c r="Y17" s="11">
        <v>3234000</v>
      </c>
      <c r="Z17" s="11">
        <v>35925000</v>
      </c>
      <c r="AA17" s="11">
        <v>0</v>
      </c>
      <c r="AB17" s="11">
        <v>312000</v>
      </c>
      <c r="AC17" s="11">
        <v>120444000</v>
      </c>
      <c r="AP17" s="13">
        <v>35960000</v>
      </c>
      <c r="AQ17" s="13">
        <v>-4254000</v>
      </c>
      <c r="AR17" s="13">
        <v>-72301000</v>
      </c>
      <c r="AT17" s="13">
        <v>4254000</v>
      </c>
      <c r="AV17" s="14">
        <v>25750000</v>
      </c>
      <c r="AX17" s="19">
        <f t="shared" si="0"/>
        <v>2.8</v>
      </c>
      <c r="AY17" s="14">
        <v>72100000</v>
      </c>
      <c r="BB17" s="14">
        <f t="shared" si="1"/>
        <v>0</v>
      </c>
      <c r="BC17" s="14">
        <f t="shared" si="2"/>
        <v>-55552000</v>
      </c>
    </row>
    <row r="18" spans="1:55" ht="17" x14ac:dyDescent="0.2">
      <c r="A18" s="8" t="s">
        <v>11</v>
      </c>
      <c r="B18" s="9" t="s">
        <v>55</v>
      </c>
      <c r="D18" s="9">
        <v>2021</v>
      </c>
      <c r="E18" s="9" t="s">
        <v>56</v>
      </c>
      <c r="F18" s="10">
        <v>48909000</v>
      </c>
      <c r="G18" s="10">
        <v>28073000</v>
      </c>
      <c r="K18" s="10">
        <v>2894000</v>
      </c>
      <c r="S18" s="11">
        <v>114485000</v>
      </c>
      <c r="T18" s="11">
        <v>96146000</v>
      </c>
      <c r="U18" s="11">
        <v>18067000</v>
      </c>
      <c r="V18" s="11">
        <v>0</v>
      </c>
      <c r="W18" s="11">
        <v>272000</v>
      </c>
      <c r="X18" s="11">
        <v>38133000</v>
      </c>
      <c r="Y18" s="11">
        <v>3458000</v>
      </c>
      <c r="Z18" s="11">
        <v>34240000</v>
      </c>
      <c r="AA18" s="11">
        <v>0</v>
      </c>
      <c r="AB18" s="11">
        <v>253000</v>
      </c>
      <c r="AC18" s="11">
        <v>152618000</v>
      </c>
      <c r="AP18" s="13">
        <v>40967000</v>
      </c>
      <c r="AQ18" s="13">
        <v>-3851000</v>
      </c>
      <c r="AR18" s="13">
        <v>-202000</v>
      </c>
      <c r="AT18" s="13">
        <v>3851000</v>
      </c>
      <c r="AV18" s="14">
        <v>25750000</v>
      </c>
      <c r="AX18" s="19">
        <f t="shared" si="0"/>
        <v>0</v>
      </c>
      <c r="AY18" s="14">
        <v>0</v>
      </c>
      <c r="BB18" s="14">
        <f t="shared" si="1"/>
        <v>0</v>
      </c>
      <c r="BC18" s="14">
        <f t="shared" si="2"/>
        <v>-96146000</v>
      </c>
    </row>
    <row r="19" spans="1:55" ht="17" x14ac:dyDescent="0.2">
      <c r="A19" s="8" t="s">
        <v>11</v>
      </c>
      <c r="B19" s="9" t="s">
        <v>55</v>
      </c>
      <c r="D19" s="9">
        <v>2020</v>
      </c>
      <c r="E19" s="9" t="s">
        <v>59</v>
      </c>
      <c r="F19" s="10">
        <v>48052000</v>
      </c>
      <c r="G19" s="10">
        <v>29531000</v>
      </c>
      <c r="K19" s="10">
        <v>2667000</v>
      </c>
      <c r="S19" s="11">
        <v>85150000</v>
      </c>
      <c r="T19" s="11">
        <v>59233000</v>
      </c>
      <c r="U19" s="11">
        <v>25807000</v>
      </c>
      <c r="V19" s="11">
        <v>0</v>
      </c>
      <c r="W19" s="11">
        <v>110000</v>
      </c>
      <c r="X19" s="11">
        <v>37168000</v>
      </c>
      <c r="Y19" s="11">
        <v>3657000</v>
      </c>
      <c r="Z19" s="11">
        <v>33083000</v>
      </c>
      <c r="AA19" s="11">
        <v>0</v>
      </c>
      <c r="AB19" s="11">
        <v>246000</v>
      </c>
      <c r="AC19" s="11">
        <v>122318000</v>
      </c>
      <c r="AP19" s="13">
        <v>28669000</v>
      </c>
      <c r="AQ19" s="13">
        <v>-3278000</v>
      </c>
      <c r="AR19" s="13">
        <v>-23122000</v>
      </c>
      <c r="AT19" s="13">
        <v>3248000</v>
      </c>
      <c r="AV19" s="14">
        <v>25750000</v>
      </c>
      <c r="AX19" s="19">
        <f t="shared" si="0"/>
        <v>0.8900194174757281</v>
      </c>
      <c r="AY19" s="14">
        <v>22918000</v>
      </c>
      <c r="BB19" s="14">
        <f t="shared" si="1"/>
        <v>0</v>
      </c>
      <c r="BC19" s="14">
        <f t="shared" si="2"/>
        <v>-59233000</v>
      </c>
    </row>
    <row r="20" spans="1:55" ht="17" x14ac:dyDescent="0.2">
      <c r="A20" s="8" t="s">
        <v>11</v>
      </c>
      <c r="B20" s="9" t="s">
        <v>55</v>
      </c>
      <c r="D20" s="9">
        <v>2020</v>
      </c>
      <c r="E20" s="9" t="s">
        <v>58</v>
      </c>
      <c r="F20" s="10">
        <v>46220000</v>
      </c>
      <c r="G20" s="10">
        <v>27893000</v>
      </c>
      <c r="K20" s="10">
        <v>2501000</v>
      </c>
      <c r="S20" s="11">
        <v>77155000</v>
      </c>
      <c r="T20" s="11">
        <v>56964000</v>
      </c>
      <c r="U20" s="11">
        <v>20060000</v>
      </c>
      <c r="V20" s="11">
        <v>0</v>
      </c>
      <c r="W20" s="11">
        <v>131000</v>
      </c>
      <c r="X20" s="11">
        <v>36053000</v>
      </c>
      <c r="Y20" s="11">
        <v>3721000</v>
      </c>
      <c r="Z20" s="11">
        <v>29561000</v>
      </c>
      <c r="AA20" s="11">
        <v>0</v>
      </c>
      <c r="AB20" s="11">
        <v>2589000</v>
      </c>
      <c r="AC20" s="11">
        <v>113208000</v>
      </c>
      <c r="AP20" s="13">
        <v>29821000</v>
      </c>
      <c r="AQ20" s="13">
        <v>-3786000</v>
      </c>
      <c r="AR20" s="13">
        <v>-206000</v>
      </c>
      <c r="AT20" s="13">
        <v>3782000</v>
      </c>
      <c r="AV20" s="14">
        <v>25750000</v>
      </c>
      <c r="AX20" s="19">
        <f t="shared" si="0"/>
        <v>0</v>
      </c>
      <c r="AY20" s="14">
        <v>0</v>
      </c>
      <c r="BB20" s="14">
        <f t="shared" si="1"/>
        <v>0</v>
      </c>
      <c r="BC20" s="14">
        <f t="shared" si="2"/>
        <v>-56964000</v>
      </c>
    </row>
    <row r="21" spans="1:55" ht="17" x14ac:dyDescent="0.2">
      <c r="A21" s="8" t="s">
        <v>11</v>
      </c>
      <c r="B21" s="9" t="s">
        <v>55</v>
      </c>
      <c r="D21" s="9">
        <v>2020</v>
      </c>
      <c r="E21" s="9" t="s">
        <v>57</v>
      </c>
      <c r="F21" s="10">
        <v>43110000</v>
      </c>
      <c r="G21" s="10">
        <v>23866000</v>
      </c>
      <c r="K21" s="10">
        <v>2389000</v>
      </c>
      <c r="S21" s="11">
        <v>50548000</v>
      </c>
      <c r="T21" s="11">
        <v>31136000</v>
      </c>
      <c r="U21" s="11">
        <v>19284000</v>
      </c>
      <c r="V21" s="11">
        <v>0</v>
      </c>
      <c r="W21" s="11">
        <v>128000</v>
      </c>
      <c r="X21" s="11">
        <v>34950000</v>
      </c>
      <c r="Y21" s="11">
        <v>3914000</v>
      </c>
      <c r="Z21" s="11">
        <v>27355000</v>
      </c>
      <c r="AA21" s="11">
        <v>0</v>
      </c>
      <c r="AB21" s="11">
        <v>3499000</v>
      </c>
      <c r="AC21" s="11">
        <v>85498000</v>
      </c>
      <c r="AP21" s="13">
        <v>23694000</v>
      </c>
      <c r="AQ21" s="13">
        <v>-3814000</v>
      </c>
      <c r="AR21" s="13">
        <v>-48617000</v>
      </c>
      <c r="AT21" s="13">
        <v>3812000</v>
      </c>
      <c r="AV21" s="14">
        <v>25750000</v>
      </c>
      <c r="AX21" s="19">
        <f t="shared" si="0"/>
        <v>1.88</v>
      </c>
      <c r="AY21" s="14">
        <v>48410000</v>
      </c>
      <c r="BB21" s="14">
        <f t="shared" si="1"/>
        <v>0</v>
      </c>
      <c r="BC21" s="14">
        <f t="shared" si="2"/>
        <v>-31136000</v>
      </c>
    </row>
    <row r="22" spans="1:55" ht="17" x14ac:dyDescent="0.2">
      <c r="A22" s="8" t="s">
        <v>11</v>
      </c>
      <c r="B22" s="9" t="s">
        <v>55</v>
      </c>
      <c r="D22" s="9">
        <v>2020</v>
      </c>
      <c r="E22" s="9" t="s">
        <v>56</v>
      </c>
      <c r="F22" s="10">
        <v>41628000</v>
      </c>
      <c r="G22" s="10">
        <v>25823000</v>
      </c>
      <c r="K22" s="10">
        <v>2225000</v>
      </c>
      <c r="S22" s="11">
        <v>74528000</v>
      </c>
      <c r="T22" s="11">
        <v>59873000</v>
      </c>
      <c r="U22" s="11">
        <v>14593000</v>
      </c>
      <c r="V22" s="11">
        <v>0</v>
      </c>
      <c r="W22" s="11">
        <v>62000</v>
      </c>
      <c r="X22" s="11">
        <v>34380000</v>
      </c>
      <c r="Y22" s="11">
        <v>4070000</v>
      </c>
      <c r="Z22" s="11">
        <v>27478000</v>
      </c>
      <c r="AA22" s="11">
        <v>0</v>
      </c>
      <c r="AB22" s="11">
        <v>2650000</v>
      </c>
      <c r="AC22" s="11">
        <v>108908000</v>
      </c>
      <c r="AP22" s="13">
        <v>24310000</v>
      </c>
      <c r="AQ22" s="13">
        <v>-2910000</v>
      </c>
      <c r="AR22" s="13">
        <v>-209000</v>
      </c>
      <c r="AT22" s="13">
        <v>2946000</v>
      </c>
      <c r="AV22" s="14">
        <v>25750000</v>
      </c>
      <c r="AX22" s="19">
        <f t="shared" si="0"/>
        <v>0</v>
      </c>
      <c r="AY22" s="14">
        <v>0</v>
      </c>
      <c r="BB22" s="14">
        <f t="shared" si="1"/>
        <v>0</v>
      </c>
      <c r="BC22" s="14">
        <f t="shared" si="2"/>
        <v>-59873000</v>
      </c>
    </row>
    <row r="23" spans="1:55" ht="17" x14ac:dyDescent="0.2">
      <c r="A23" s="8" t="s">
        <v>11</v>
      </c>
      <c r="B23" s="9" t="s">
        <v>55</v>
      </c>
      <c r="D23" s="9">
        <v>2019</v>
      </c>
      <c r="E23" s="9" t="s">
        <v>59</v>
      </c>
      <c r="F23" s="10">
        <v>36014000</v>
      </c>
      <c r="G23" s="10">
        <v>23655000</v>
      </c>
      <c r="K23" s="10">
        <v>2398000</v>
      </c>
      <c r="S23" s="11">
        <v>54557000</v>
      </c>
      <c r="T23" s="11">
        <v>38682000</v>
      </c>
      <c r="U23" s="11">
        <v>15815000</v>
      </c>
      <c r="V23" s="11">
        <v>0</v>
      </c>
      <c r="W23" s="11">
        <v>60000</v>
      </c>
      <c r="X23" s="11">
        <v>33071000</v>
      </c>
      <c r="Y23" s="11">
        <v>4321000</v>
      </c>
      <c r="Z23" s="11">
        <v>26528000</v>
      </c>
      <c r="AA23" s="11">
        <v>0</v>
      </c>
      <c r="AB23" s="11">
        <v>2040000</v>
      </c>
      <c r="AC23" s="11">
        <v>87628000</v>
      </c>
      <c r="AP23" s="13">
        <v>24419000</v>
      </c>
      <c r="AQ23" s="13">
        <v>-9183000</v>
      </c>
      <c r="AR23" s="13">
        <v>-15984000</v>
      </c>
      <c r="AT23" s="13">
        <v>9143000</v>
      </c>
      <c r="AV23" s="14">
        <v>25750000</v>
      </c>
      <c r="AX23" s="19">
        <f t="shared" si="0"/>
        <v>0.6</v>
      </c>
      <c r="AY23" s="14">
        <v>15450000</v>
      </c>
      <c r="BB23" s="14">
        <f t="shared" si="1"/>
        <v>0</v>
      </c>
      <c r="BC23" s="14">
        <f t="shared" si="2"/>
        <v>-38682000</v>
      </c>
    </row>
    <row r="24" spans="1:55" ht="17" x14ac:dyDescent="0.2">
      <c r="A24" s="8" t="s">
        <v>11</v>
      </c>
      <c r="B24" s="9" t="s">
        <v>55</v>
      </c>
      <c r="D24" s="9">
        <v>2019</v>
      </c>
      <c r="E24" s="9" t="s">
        <v>58</v>
      </c>
      <c r="F24" s="10">
        <v>32356000</v>
      </c>
      <c r="G24" s="10">
        <v>19698000</v>
      </c>
      <c r="K24" s="10">
        <v>1457000</v>
      </c>
      <c r="S24" s="11">
        <v>46932000</v>
      </c>
      <c r="T24" s="11">
        <v>39430000</v>
      </c>
      <c r="U24" s="11">
        <v>7412000</v>
      </c>
      <c r="V24" s="11">
        <v>0</v>
      </c>
      <c r="W24" s="11">
        <v>90000</v>
      </c>
      <c r="X24" s="11">
        <v>26823000</v>
      </c>
      <c r="Y24" s="11">
        <v>5259000</v>
      </c>
      <c r="Z24" s="11">
        <v>17714000</v>
      </c>
      <c r="AA24" s="11">
        <v>0</v>
      </c>
      <c r="AB24" s="11">
        <v>3702000</v>
      </c>
      <c r="AC24" s="11">
        <v>73755000</v>
      </c>
      <c r="AP24" s="13">
        <v>19685000</v>
      </c>
      <c r="AQ24" s="13">
        <v>-2982000</v>
      </c>
      <c r="AR24" s="13">
        <v>3000</v>
      </c>
      <c r="AT24" s="13">
        <v>3004000</v>
      </c>
      <c r="AV24" s="14">
        <v>25750000</v>
      </c>
      <c r="AX24" s="19">
        <f t="shared" si="0"/>
        <v>0</v>
      </c>
      <c r="AY24" s="14">
        <v>0</v>
      </c>
      <c r="BB24" s="14">
        <f t="shared" si="1"/>
        <v>0</v>
      </c>
      <c r="BC24" s="14">
        <f t="shared" si="2"/>
        <v>-39430000</v>
      </c>
    </row>
    <row r="25" spans="1:55" ht="17" x14ac:dyDescent="0.2">
      <c r="A25" s="8" t="s">
        <v>11</v>
      </c>
      <c r="B25" s="9" t="s">
        <v>55</v>
      </c>
      <c r="D25" s="9">
        <v>2019</v>
      </c>
      <c r="E25" s="9" t="s">
        <v>57</v>
      </c>
      <c r="F25" s="10">
        <v>32320000</v>
      </c>
      <c r="G25" s="10">
        <v>20370000</v>
      </c>
      <c r="K25" s="10">
        <v>1367000</v>
      </c>
      <c r="S25" s="11">
        <v>32697000</v>
      </c>
      <c r="T25" s="11">
        <v>22724000</v>
      </c>
      <c r="U25" s="11">
        <v>9851000</v>
      </c>
      <c r="V25" s="11">
        <v>0</v>
      </c>
      <c r="W25" s="11">
        <v>122000</v>
      </c>
      <c r="X25" s="11">
        <v>24987000</v>
      </c>
      <c r="Y25" s="11">
        <v>5074000</v>
      </c>
      <c r="Z25" s="11">
        <v>16627000</v>
      </c>
      <c r="AA25" s="11">
        <v>0</v>
      </c>
      <c r="AB25" s="11">
        <v>3138000</v>
      </c>
      <c r="AC25" s="11">
        <v>57684000</v>
      </c>
      <c r="AP25" s="13">
        <v>17957000</v>
      </c>
      <c r="AQ25" s="13">
        <v>-2638000</v>
      </c>
      <c r="AR25" s="13">
        <v>-36311000</v>
      </c>
      <c r="AT25" s="13">
        <v>2652000</v>
      </c>
      <c r="AV25" s="14">
        <v>25750000</v>
      </c>
      <c r="AX25" s="19">
        <f t="shared" si="0"/>
        <v>1.4100194174757281</v>
      </c>
      <c r="AY25" s="14">
        <v>36308000</v>
      </c>
      <c r="BB25" s="14">
        <f t="shared" si="1"/>
        <v>0</v>
      </c>
      <c r="BC25" s="14">
        <f t="shared" si="2"/>
        <v>-22724000</v>
      </c>
    </row>
    <row r="26" spans="1:55" ht="17" x14ac:dyDescent="0.2">
      <c r="A26" s="8" t="s">
        <v>11</v>
      </c>
      <c r="B26" s="9" t="s">
        <v>55</v>
      </c>
      <c r="D26" s="9">
        <v>2019</v>
      </c>
      <c r="E26" s="9" t="s">
        <v>56</v>
      </c>
      <c r="F26" s="10">
        <v>30177000</v>
      </c>
      <c r="G26" s="10">
        <v>18199000</v>
      </c>
      <c r="K26" s="10">
        <v>1268000</v>
      </c>
      <c r="S26" s="11">
        <v>55157000</v>
      </c>
      <c r="T26" s="11">
        <v>43715000</v>
      </c>
      <c r="U26" s="11">
        <v>11391000</v>
      </c>
      <c r="V26" s="11">
        <v>0</v>
      </c>
      <c r="W26" s="11">
        <v>51000</v>
      </c>
      <c r="X26" s="11">
        <v>20025000</v>
      </c>
      <c r="Y26" s="11">
        <v>1503000</v>
      </c>
      <c r="Z26" s="11">
        <v>15309000</v>
      </c>
      <c r="AA26" s="11">
        <v>0</v>
      </c>
      <c r="AB26" s="11">
        <v>3065000</v>
      </c>
      <c r="AC26" s="11">
        <v>75182000</v>
      </c>
      <c r="AP26" s="13">
        <v>13756000</v>
      </c>
      <c r="AQ26" s="13">
        <v>-2665000</v>
      </c>
      <c r="AR26" s="13">
        <v>0</v>
      </c>
      <c r="AT26" s="13">
        <v>2691000</v>
      </c>
      <c r="AV26" s="14">
        <v>25750000</v>
      </c>
      <c r="AX26" s="19">
        <f t="shared" si="0"/>
        <v>0</v>
      </c>
      <c r="AY26" s="14">
        <v>0</v>
      </c>
      <c r="BB26" s="14">
        <f t="shared" si="1"/>
        <v>0</v>
      </c>
      <c r="BC26" s="14">
        <f t="shared" si="2"/>
        <v>-43715000</v>
      </c>
    </row>
    <row r="27" spans="1:55" ht="17" x14ac:dyDescent="0.2">
      <c r="A27" s="8" t="s">
        <v>11</v>
      </c>
      <c r="B27" s="9" t="s">
        <v>55</v>
      </c>
      <c r="D27" s="9">
        <v>2018</v>
      </c>
      <c r="E27" s="9" t="s">
        <v>59</v>
      </c>
      <c r="F27" s="10">
        <v>29424000</v>
      </c>
      <c r="G27" s="10">
        <v>18768000</v>
      </c>
      <c r="K27" s="10">
        <v>1153000</v>
      </c>
      <c r="S27" s="11">
        <v>42952000</v>
      </c>
      <c r="T27" s="11">
        <v>32624000</v>
      </c>
      <c r="U27" s="11">
        <v>10273000</v>
      </c>
      <c r="V27" s="11">
        <v>0</v>
      </c>
      <c r="W27" s="11">
        <v>55000</v>
      </c>
      <c r="X27" s="11">
        <v>18569000</v>
      </c>
      <c r="Y27" s="11">
        <v>1530000</v>
      </c>
      <c r="Z27" s="11">
        <v>13809000</v>
      </c>
      <c r="AA27" s="11">
        <v>0</v>
      </c>
      <c r="AB27" s="11">
        <v>3082000</v>
      </c>
      <c r="AC27" s="11">
        <v>61521000</v>
      </c>
      <c r="AP27" s="13">
        <v>14833000</v>
      </c>
      <c r="AQ27" s="13">
        <v>-2774000</v>
      </c>
      <c r="AR27" s="13">
        <v>-13905000</v>
      </c>
      <c r="AT27" s="13">
        <v>2806000</v>
      </c>
      <c r="AV27" s="14">
        <v>25750000</v>
      </c>
      <c r="AX27" s="19">
        <f t="shared" si="0"/>
        <v>0.54</v>
      </c>
      <c r="AY27" s="14">
        <v>13905000</v>
      </c>
      <c r="BB27" s="14">
        <f t="shared" si="1"/>
        <v>0</v>
      </c>
      <c r="BC27" s="14">
        <f t="shared" si="2"/>
        <v>-32624000</v>
      </c>
    </row>
    <row r="28" spans="1:55" ht="17" x14ac:dyDescent="0.2">
      <c r="A28" s="8" t="s">
        <v>11</v>
      </c>
      <c r="B28" s="9" t="s">
        <v>55</v>
      </c>
      <c r="D28" s="9">
        <v>2018</v>
      </c>
      <c r="E28" s="9" t="s">
        <v>58</v>
      </c>
      <c r="F28" s="10">
        <v>27779000</v>
      </c>
      <c r="G28" s="10">
        <v>16966000</v>
      </c>
      <c r="K28" s="10">
        <v>963000</v>
      </c>
      <c r="S28" s="11">
        <v>42940000</v>
      </c>
      <c r="T28" s="11">
        <v>34470000</v>
      </c>
      <c r="U28" s="11">
        <v>8418000</v>
      </c>
      <c r="V28" s="11">
        <v>0</v>
      </c>
      <c r="W28" s="11">
        <v>52000</v>
      </c>
      <c r="X28" s="11">
        <v>16861000</v>
      </c>
      <c r="Y28" s="11">
        <v>1519000</v>
      </c>
      <c r="Z28" s="11">
        <v>12628000</v>
      </c>
      <c r="AA28" s="11">
        <v>0</v>
      </c>
      <c r="AB28" s="11">
        <v>2560000</v>
      </c>
      <c r="AC28" s="11">
        <v>59801000</v>
      </c>
      <c r="AP28" s="13">
        <v>17597000</v>
      </c>
      <c r="AQ28" s="13">
        <v>-2930000</v>
      </c>
      <c r="AR28" s="13">
        <v>0</v>
      </c>
      <c r="AT28" s="13">
        <v>2975000</v>
      </c>
      <c r="AV28" s="14">
        <v>25750000</v>
      </c>
      <c r="AX28" s="19">
        <f t="shared" si="0"/>
        <v>0</v>
      </c>
      <c r="AY28" s="14">
        <v>0</v>
      </c>
      <c r="BB28" s="14">
        <f t="shared" si="1"/>
        <v>0</v>
      </c>
      <c r="BC28" s="14">
        <f t="shared" si="2"/>
        <v>-34470000</v>
      </c>
    </row>
    <row r="29" spans="1:55" ht="17" x14ac:dyDescent="0.2">
      <c r="A29" s="8" t="s">
        <v>11</v>
      </c>
      <c r="B29" s="9" t="s">
        <v>55</v>
      </c>
      <c r="D29" s="9">
        <v>2018</v>
      </c>
      <c r="E29" s="9" t="s">
        <v>57</v>
      </c>
      <c r="F29" s="10">
        <v>26581000</v>
      </c>
      <c r="G29" s="10">
        <v>17426000</v>
      </c>
      <c r="K29" s="10">
        <v>873000</v>
      </c>
      <c r="S29" s="11">
        <v>28316000</v>
      </c>
      <c r="T29" s="11">
        <v>19804000</v>
      </c>
      <c r="U29" s="11">
        <v>8412000</v>
      </c>
      <c r="V29" s="11">
        <v>0</v>
      </c>
      <c r="W29" s="11">
        <v>100000</v>
      </c>
      <c r="X29" s="11">
        <v>15141000</v>
      </c>
      <c r="Y29" s="11">
        <v>1228000</v>
      </c>
      <c r="Z29" s="11">
        <v>9661000</v>
      </c>
      <c r="AA29" s="11">
        <v>0</v>
      </c>
      <c r="AB29" s="11">
        <v>4084000</v>
      </c>
      <c r="AC29" s="11">
        <v>43457000</v>
      </c>
      <c r="AP29" s="13">
        <v>14077000</v>
      </c>
      <c r="AQ29" s="13">
        <v>-3357000</v>
      </c>
      <c r="AR29" s="13">
        <v>-34248000</v>
      </c>
      <c r="AT29" s="13">
        <v>3442000</v>
      </c>
      <c r="AV29" s="14">
        <v>25750000</v>
      </c>
      <c r="AX29" s="19">
        <f t="shared" si="0"/>
        <v>1.330019417475728</v>
      </c>
      <c r="AY29" s="14">
        <v>34248000</v>
      </c>
      <c r="BB29" s="14">
        <f t="shared" si="1"/>
        <v>0</v>
      </c>
      <c r="BC29" s="14">
        <f t="shared" si="2"/>
        <v>-19804000</v>
      </c>
    </row>
    <row r="30" spans="1:55" ht="17" x14ac:dyDescent="0.2">
      <c r="A30" s="8" t="s">
        <v>11</v>
      </c>
      <c r="B30" s="9" t="s">
        <v>55</v>
      </c>
      <c r="D30" s="9">
        <v>2018</v>
      </c>
      <c r="E30" s="9" t="s">
        <v>56</v>
      </c>
      <c r="F30" s="10">
        <v>25515000</v>
      </c>
      <c r="G30" s="10">
        <v>17616000</v>
      </c>
      <c r="K30" s="10">
        <v>761000</v>
      </c>
      <c r="S30" s="11">
        <v>51500000</v>
      </c>
      <c r="T30" s="11">
        <v>43331000</v>
      </c>
      <c r="U30" s="11">
        <v>8124000</v>
      </c>
      <c r="V30" s="11">
        <v>0</v>
      </c>
      <c r="W30" s="11">
        <v>45000</v>
      </c>
      <c r="X30" s="11">
        <v>12191000</v>
      </c>
      <c r="Y30" s="11">
        <v>1278000</v>
      </c>
      <c r="Z30" s="11">
        <v>8957000</v>
      </c>
      <c r="AA30" s="11">
        <v>0</v>
      </c>
      <c r="AB30" s="11">
        <v>1788000</v>
      </c>
      <c r="AC30" s="11">
        <v>63691000</v>
      </c>
      <c r="AP30" s="13">
        <v>14682000</v>
      </c>
      <c r="AQ30" s="13">
        <v>-1485000</v>
      </c>
      <c r="AR30" s="13">
        <v>0</v>
      </c>
      <c r="AT30" s="13">
        <v>1485000</v>
      </c>
      <c r="AV30" s="14">
        <v>25750000</v>
      </c>
      <c r="AX30" s="19">
        <f t="shared" si="0"/>
        <v>0</v>
      </c>
      <c r="AY30" s="14">
        <v>0</v>
      </c>
      <c r="BB30" s="14">
        <f t="shared" si="1"/>
        <v>0</v>
      </c>
      <c r="BC30" s="14">
        <f t="shared" si="2"/>
        <v>-43331000</v>
      </c>
    </row>
    <row r="31" spans="1:55" ht="17" x14ac:dyDescent="0.2">
      <c r="A31" s="8" t="s">
        <v>11</v>
      </c>
      <c r="B31" s="9" t="s">
        <v>55</v>
      </c>
      <c r="D31" s="9">
        <v>2017</v>
      </c>
      <c r="E31" s="9" t="s">
        <v>59</v>
      </c>
      <c r="F31" s="10">
        <v>22982000</v>
      </c>
      <c r="G31" s="10">
        <v>15982000</v>
      </c>
      <c r="K31" s="10">
        <v>100000</v>
      </c>
      <c r="S31" s="11">
        <v>37205000</v>
      </c>
      <c r="T31" s="11">
        <v>30134000</v>
      </c>
      <c r="U31" s="11">
        <v>6912000</v>
      </c>
      <c r="V31" s="11">
        <v>0</v>
      </c>
      <c r="W31" s="11">
        <v>159000</v>
      </c>
      <c r="X31" s="11">
        <v>11439000</v>
      </c>
      <c r="Y31" s="11">
        <v>1231000</v>
      </c>
      <c r="Z31" s="11">
        <v>8463000</v>
      </c>
      <c r="AA31" s="11">
        <v>0</v>
      </c>
      <c r="AB31" s="11">
        <v>1557000</v>
      </c>
      <c r="AC31" s="11">
        <v>48644000</v>
      </c>
      <c r="AP31" s="13">
        <v>12158000</v>
      </c>
      <c r="AQ31" s="13">
        <v>-1335000</v>
      </c>
      <c r="AR31" s="13">
        <v>-11330000</v>
      </c>
      <c r="AT31" s="13">
        <v>1370000</v>
      </c>
      <c r="AV31" s="14">
        <v>25750000</v>
      </c>
      <c r="AX31" s="19">
        <f t="shared" si="0"/>
        <v>0.44</v>
      </c>
      <c r="AY31" s="14">
        <v>11330000</v>
      </c>
      <c r="BB31" s="14">
        <f t="shared" si="1"/>
        <v>0</v>
      </c>
      <c r="BC31" s="14">
        <f t="shared" si="2"/>
        <v>-30134000</v>
      </c>
    </row>
    <row r="32" spans="1:55" ht="17" x14ac:dyDescent="0.2">
      <c r="A32" s="8" t="s">
        <v>11</v>
      </c>
      <c r="B32" s="9" t="s">
        <v>55</v>
      </c>
      <c r="D32" s="9">
        <v>2017</v>
      </c>
      <c r="E32" s="9" t="s">
        <v>58</v>
      </c>
      <c r="F32" s="10">
        <v>22830000</v>
      </c>
      <c r="G32" s="10">
        <v>15404000</v>
      </c>
      <c r="K32" s="10">
        <v>637000</v>
      </c>
      <c r="S32" s="11">
        <v>37364000</v>
      </c>
      <c r="T32" s="11">
        <v>30641000</v>
      </c>
      <c r="U32" s="11">
        <v>6418000</v>
      </c>
      <c r="V32" s="11">
        <v>0</v>
      </c>
      <c r="W32" s="11">
        <v>305000</v>
      </c>
      <c r="X32" s="11">
        <v>10200000</v>
      </c>
      <c r="Y32" s="11">
        <v>755000</v>
      </c>
      <c r="Z32" s="11">
        <v>7474000</v>
      </c>
      <c r="AA32" s="11">
        <v>0</v>
      </c>
      <c r="AB32" s="11">
        <v>1931000</v>
      </c>
      <c r="AC32" s="11">
        <v>47564000</v>
      </c>
      <c r="AP32" s="13">
        <v>13666000</v>
      </c>
      <c r="AQ32" s="13">
        <v>-1542000</v>
      </c>
      <c r="AR32" s="13">
        <v>0</v>
      </c>
      <c r="AT32" s="13">
        <v>1579000</v>
      </c>
      <c r="AV32" s="14">
        <v>25750000</v>
      </c>
      <c r="AX32" s="19">
        <f t="shared" si="0"/>
        <v>0</v>
      </c>
      <c r="AY32" s="14">
        <v>0</v>
      </c>
      <c r="BB32" s="14">
        <f t="shared" si="1"/>
        <v>0</v>
      </c>
      <c r="BC32" s="14">
        <f t="shared" si="2"/>
        <v>-30641000</v>
      </c>
    </row>
    <row r="33" spans="1:55" ht="17" x14ac:dyDescent="0.2">
      <c r="A33" s="8" t="s">
        <v>11</v>
      </c>
      <c r="B33" s="9" t="s">
        <v>55</v>
      </c>
      <c r="D33" s="9">
        <v>2017</v>
      </c>
      <c r="E33" s="9" t="s">
        <v>57</v>
      </c>
      <c r="F33" s="10">
        <v>22029000</v>
      </c>
      <c r="G33" s="10">
        <v>16235000</v>
      </c>
      <c r="K33" s="10">
        <v>591000</v>
      </c>
      <c r="S33" s="11">
        <v>24962000</v>
      </c>
      <c r="T33" s="11">
        <v>18518000</v>
      </c>
      <c r="U33" s="11">
        <v>6031000</v>
      </c>
      <c r="V33" s="11">
        <v>0</v>
      </c>
      <c r="W33" s="11">
        <v>413000</v>
      </c>
      <c r="X33" s="11">
        <v>9245000</v>
      </c>
      <c r="Y33" s="11">
        <v>655000</v>
      </c>
      <c r="Z33" s="11">
        <v>7049000</v>
      </c>
      <c r="AA33" s="11">
        <v>0</v>
      </c>
      <c r="AB33" s="11">
        <v>1501000</v>
      </c>
      <c r="AC33" s="11">
        <v>34207000</v>
      </c>
      <c r="AP33" s="13">
        <v>11718000</v>
      </c>
      <c r="AQ33" s="13">
        <v>-1095000</v>
      </c>
      <c r="AR33" s="13">
        <v>-36308000</v>
      </c>
      <c r="AT33" s="13">
        <v>1154000</v>
      </c>
      <c r="AV33" s="14">
        <v>25750000</v>
      </c>
      <c r="AX33" s="19">
        <f t="shared" si="0"/>
        <v>1.4100194174757281</v>
      </c>
      <c r="AY33" s="14">
        <v>36308000</v>
      </c>
      <c r="BB33" s="14">
        <f t="shared" si="1"/>
        <v>0</v>
      </c>
      <c r="BC33" s="14">
        <f t="shared" si="2"/>
        <v>-18518000</v>
      </c>
    </row>
    <row r="34" spans="1:55" ht="17" x14ac:dyDescent="0.2">
      <c r="A34" s="8" t="s">
        <v>11</v>
      </c>
      <c r="B34" s="9" t="s">
        <v>55</v>
      </c>
      <c r="D34" s="9">
        <v>2017</v>
      </c>
      <c r="E34" s="9" t="s">
        <v>56</v>
      </c>
      <c r="F34" s="10">
        <v>21585000</v>
      </c>
      <c r="G34" s="10">
        <v>13741000</v>
      </c>
      <c r="K34" s="10">
        <v>550000</v>
      </c>
      <c r="S34" s="11">
        <v>49436000</v>
      </c>
      <c r="T34" s="11">
        <v>44202000</v>
      </c>
      <c r="U34" s="11">
        <v>5150000</v>
      </c>
      <c r="V34" s="11">
        <v>0</v>
      </c>
      <c r="W34" s="11">
        <v>84000</v>
      </c>
      <c r="X34" s="11">
        <v>8694000</v>
      </c>
      <c r="Y34" s="11">
        <v>621000</v>
      </c>
      <c r="Z34" s="11">
        <v>6643000</v>
      </c>
      <c r="AA34" s="11">
        <v>0</v>
      </c>
      <c r="AB34" s="11">
        <v>1390000</v>
      </c>
      <c r="AC34" s="11">
        <v>58130000</v>
      </c>
      <c r="AP34" s="13">
        <v>10636000</v>
      </c>
      <c r="AQ34" s="13">
        <v>-1184000</v>
      </c>
      <c r="AR34" s="13">
        <v>0</v>
      </c>
      <c r="AT34" s="13">
        <v>1184000</v>
      </c>
      <c r="AV34" s="14">
        <v>25750000</v>
      </c>
      <c r="AX34" s="19">
        <f t="shared" si="0"/>
        <v>0</v>
      </c>
      <c r="AY34" s="14">
        <v>0</v>
      </c>
      <c r="BB34" s="14">
        <f t="shared" si="1"/>
        <v>0</v>
      </c>
      <c r="BC34" s="14">
        <f t="shared" si="2"/>
        <v>-44202000</v>
      </c>
    </row>
    <row r="35" spans="1:55" ht="17" x14ac:dyDescent="0.2">
      <c r="A35" s="8" t="s">
        <v>11</v>
      </c>
      <c r="B35" s="9" t="s">
        <v>55</v>
      </c>
      <c r="D35" s="9">
        <v>2016</v>
      </c>
      <c r="E35" s="9" t="s">
        <v>59</v>
      </c>
      <c r="F35" s="10">
        <v>21533000</v>
      </c>
      <c r="G35" s="10">
        <v>14974000</v>
      </c>
      <c r="K35" s="10">
        <v>500000</v>
      </c>
      <c r="S35" s="11">
        <v>39471000</v>
      </c>
      <c r="T35" s="11">
        <v>34750000</v>
      </c>
      <c r="U35" s="11">
        <v>4510000</v>
      </c>
      <c r="V35" s="11">
        <v>0</v>
      </c>
      <c r="W35" s="11">
        <v>211000</v>
      </c>
      <c r="X35" s="11">
        <v>8062000</v>
      </c>
      <c r="Y35" s="11">
        <v>572000</v>
      </c>
      <c r="Z35" s="11">
        <v>6059000</v>
      </c>
      <c r="AA35" s="11">
        <v>0</v>
      </c>
      <c r="AB35" s="11">
        <v>1391000</v>
      </c>
      <c r="AC35" s="11">
        <v>47533000</v>
      </c>
      <c r="AP35" s="13">
        <v>12999000</v>
      </c>
      <c r="AQ35" s="13">
        <v>-2137000</v>
      </c>
      <c r="AR35" s="13">
        <v>0</v>
      </c>
      <c r="AT35" s="13">
        <v>2153000</v>
      </c>
      <c r="AV35" s="14">
        <v>25750000</v>
      </c>
      <c r="AX35" s="19">
        <f t="shared" si="0"/>
        <v>0</v>
      </c>
      <c r="AY35" s="14">
        <v>0</v>
      </c>
      <c r="BB35" s="14">
        <f t="shared" si="1"/>
        <v>0</v>
      </c>
      <c r="BC35" s="14">
        <f t="shared" si="2"/>
        <v>-34750000</v>
      </c>
    </row>
    <row r="36" spans="1:55" ht="17" x14ac:dyDescent="0.2">
      <c r="A36" s="8" t="s">
        <v>11</v>
      </c>
      <c r="B36" s="9" t="s">
        <v>55</v>
      </c>
      <c r="D36" s="9">
        <v>2016</v>
      </c>
      <c r="E36" s="9" t="s">
        <v>58</v>
      </c>
      <c r="F36" s="10">
        <v>20173000</v>
      </c>
      <c r="G36" s="10">
        <v>14969000</v>
      </c>
      <c r="K36" s="10">
        <v>441000</v>
      </c>
      <c r="S36" s="11">
        <v>28251000</v>
      </c>
      <c r="T36" s="11">
        <v>23888000</v>
      </c>
      <c r="U36" s="11">
        <v>4326000</v>
      </c>
      <c r="V36" s="11">
        <v>0</v>
      </c>
      <c r="W36" s="11">
        <v>37000</v>
      </c>
      <c r="X36" s="11">
        <v>7510000</v>
      </c>
      <c r="Y36" s="11">
        <v>580000</v>
      </c>
      <c r="Z36" s="11">
        <v>4411000</v>
      </c>
      <c r="AA36" s="11">
        <v>0</v>
      </c>
      <c r="AB36" s="11">
        <v>2479000</v>
      </c>
      <c r="AC36" s="11">
        <v>35761000</v>
      </c>
      <c r="AP36" s="13">
        <v>11297000</v>
      </c>
      <c r="AQ36" s="13">
        <v>-63000</v>
      </c>
      <c r="AR36" s="13">
        <v>0</v>
      </c>
      <c r="AT36" s="13">
        <v>67000</v>
      </c>
      <c r="AV36" s="14">
        <v>25750000</v>
      </c>
      <c r="AX36" s="19">
        <f t="shared" si="0"/>
        <v>0</v>
      </c>
      <c r="AY36" s="14">
        <v>0</v>
      </c>
      <c r="BB36" s="14">
        <f t="shared" si="1"/>
        <v>0</v>
      </c>
      <c r="BC36" s="14">
        <f t="shared" si="2"/>
        <v>-23888000</v>
      </c>
    </row>
    <row r="37" spans="1:55" ht="17" x14ac:dyDescent="0.2">
      <c r="A37" s="8" t="s">
        <v>11</v>
      </c>
      <c r="B37" s="9" t="s">
        <v>55</v>
      </c>
      <c r="D37" s="9">
        <v>2016</v>
      </c>
      <c r="E37" s="9" t="s">
        <v>57</v>
      </c>
      <c r="F37" s="10">
        <v>17966000</v>
      </c>
      <c r="G37" s="10">
        <v>12165000</v>
      </c>
      <c r="K37" s="10">
        <v>398000</v>
      </c>
      <c r="S37" s="11">
        <v>16588000</v>
      </c>
      <c r="T37" s="11">
        <v>12653000</v>
      </c>
      <c r="U37" s="11">
        <v>3890000</v>
      </c>
      <c r="V37" s="11">
        <v>0</v>
      </c>
      <c r="W37" s="11">
        <v>45000</v>
      </c>
      <c r="X37" s="11">
        <v>6947000</v>
      </c>
      <c r="Y37" s="11">
        <v>574000</v>
      </c>
      <c r="Z37" s="11">
        <v>4779000</v>
      </c>
      <c r="AA37" s="11">
        <v>0</v>
      </c>
      <c r="AB37" s="11">
        <v>1554000</v>
      </c>
      <c r="AC37" s="11">
        <v>23535000</v>
      </c>
      <c r="AP37" s="13">
        <v>9283000</v>
      </c>
      <c r="AQ37" s="13">
        <v>-725000</v>
      </c>
      <c r="AR37" s="13">
        <v>-27810000</v>
      </c>
      <c r="AT37" s="13">
        <v>824000</v>
      </c>
      <c r="AV37" s="14">
        <v>25750000</v>
      </c>
      <c r="AX37" s="19">
        <f t="shared" si="0"/>
        <v>1.08</v>
      </c>
      <c r="AY37" s="14">
        <v>27810000</v>
      </c>
      <c r="BB37" s="14">
        <f t="shared" si="1"/>
        <v>0</v>
      </c>
      <c r="BC37" s="14">
        <f t="shared" si="2"/>
        <v>-12653000</v>
      </c>
    </row>
    <row r="38" spans="1:55" ht="17" x14ac:dyDescent="0.2">
      <c r="A38" s="8" t="s">
        <v>11</v>
      </c>
      <c r="B38" s="9" t="s">
        <v>55</v>
      </c>
      <c r="D38" s="9">
        <v>2016</v>
      </c>
      <c r="E38" s="9" t="s">
        <v>56</v>
      </c>
      <c r="F38" s="10">
        <v>16582000</v>
      </c>
      <c r="G38" s="10">
        <v>11241000</v>
      </c>
      <c r="K38" s="10">
        <v>354000</v>
      </c>
      <c r="S38" s="11">
        <v>35345000</v>
      </c>
      <c r="T38" s="11">
        <v>31907000</v>
      </c>
      <c r="U38" s="11">
        <v>3436000</v>
      </c>
      <c r="V38" s="11">
        <v>0</v>
      </c>
      <c r="W38" s="11">
        <v>2000</v>
      </c>
      <c r="X38" s="11">
        <v>6090000</v>
      </c>
      <c r="Y38" s="11">
        <v>588000</v>
      </c>
      <c r="Z38" s="11">
        <v>4308000</v>
      </c>
      <c r="AA38" s="11">
        <v>0</v>
      </c>
      <c r="AB38" s="11">
        <v>1154000</v>
      </c>
      <c r="AC38" s="11">
        <v>41435000</v>
      </c>
      <c r="AP38" s="13">
        <v>9626000</v>
      </c>
      <c r="AQ38" s="13">
        <v>-934000</v>
      </c>
      <c r="AR38" s="13">
        <v>0</v>
      </c>
      <c r="AT38" s="13">
        <v>934000</v>
      </c>
      <c r="AV38" s="14">
        <v>25750000</v>
      </c>
      <c r="AX38" s="19">
        <f t="shared" si="0"/>
        <v>0</v>
      </c>
      <c r="AY38" s="14">
        <v>0</v>
      </c>
      <c r="BB38" s="14">
        <f t="shared" si="1"/>
        <v>0</v>
      </c>
      <c r="BC38" s="14">
        <f t="shared" si="2"/>
        <v>-31907000</v>
      </c>
    </row>
    <row r="39" spans="1:55" ht="17" x14ac:dyDescent="0.2">
      <c r="A39" s="8" t="s">
        <v>11</v>
      </c>
      <c r="B39" s="9" t="s">
        <v>55</v>
      </c>
      <c r="D39" s="9">
        <v>2015</v>
      </c>
      <c r="E39" s="9" t="s">
        <v>59</v>
      </c>
      <c r="F39" s="10">
        <v>15607000</v>
      </c>
      <c r="G39" s="10">
        <v>9720000</v>
      </c>
      <c r="K39" s="10">
        <v>330000</v>
      </c>
      <c r="S39" s="11">
        <v>26524000</v>
      </c>
      <c r="T39" s="11">
        <v>23214000</v>
      </c>
      <c r="U39" s="11">
        <v>3271000</v>
      </c>
      <c r="V39" s="11">
        <v>0</v>
      </c>
      <c r="W39" s="11">
        <v>39000</v>
      </c>
      <c r="X39" s="11">
        <v>5552000</v>
      </c>
      <c r="Y39" s="11">
        <v>568000</v>
      </c>
      <c r="Z39" s="11">
        <v>3778000</v>
      </c>
      <c r="AA39" s="11">
        <v>0</v>
      </c>
      <c r="AB39" s="11">
        <v>1153000</v>
      </c>
      <c r="AC39" s="11">
        <v>32076000</v>
      </c>
      <c r="AP39" s="13">
        <v>6655000</v>
      </c>
      <c r="AQ39" s="13">
        <v>-297000</v>
      </c>
      <c r="AR39" s="13">
        <v>0</v>
      </c>
      <c r="AT39" s="13">
        <v>297000</v>
      </c>
      <c r="AV39" s="14">
        <v>25750000</v>
      </c>
      <c r="AX39" s="19">
        <f t="shared" si="0"/>
        <v>0</v>
      </c>
      <c r="AY39" s="14">
        <v>0</v>
      </c>
      <c r="BB39" s="14">
        <f t="shared" si="1"/>
        <v>0</v>
      </c>
      <c r="BC39" s="14">
        <f t="shared" si="2"/>
        <v>-23214000</v>
      </c>
    </row>
    <row r="40" spans="1:55" ht="17" x14ac:dyDescent="0.2">
      <c r="A40" s="8" t="s">
        <v>11</v>
      </c>
      <c r="B40" s="9" t="s">
        <v>55</v>
      </c>
      <c r="D40" s="9">
        <v>2015</v>
      </c>
      <c r="E40" s="9" t="s">
        <v>58</v>
      </c>
      <c r="F40" s="10">
        <v>13747000</v>
      </c>
      <c r="G40" s="10">
        <v>9465000</v>
      </c>
      <c r="K40" s="10">
        <v>320000</v>
      </c>
      <c r="S40" s="11">
        <v>19780000</v>
      </c>
      <c r="T40" s="11">
        <v>16853000</v>
      </c>
      <c r="U40" s="11">
        <v>2834000</v>
      </c>
      <c r="V40" s="11">
        <v>0</v>
      </c>
      <c r="W40" s="11">
        <v>93000</v>
      </c>
      <c r="X40" s="11">
        <v>4893000</v>
      </c>
      <c r="Y40" s="11">
        <v>524000</v>
      </c>
      <c r="Z40" s="11">
        <v>3441000</v>
      </c>
      <c r="AA40" s="11">
        <v>0</v>
      </c>
      <c r="AB40" s="11">
        <v>928000</v>
      </c>
      <c r="AC40" s="11">
        <v>24673000</v>
      </c>
      <c r="AP40" s="13">
        <v>8538000</v>
      </c>
      <c r="AQ40" s="13">
        <v>-707000</v>
      </c>
      <c r="AR40" s="13">
        <v>0</v>
      </c>
      <c r="AT40" s="13">
        <v>707000</v>
      </c>
      <c r="AV40" s="14">
        <v>25750000</v>
      </c>
      <c r="AX40" s="19">
        <f t="shared" si="0"/>
        <v>0</v>
      </c>
      <c r="AY40" s="14">
        <v>0</v>
      </c>
      <c r="BB40" s="14">
        <f t="shared" si="1"/>
        <v>0</v>
      </c>
      <c r="BC40" s="14">
        <f t="shared" si="2"/>
        <v>-16853000</v>
      </c>
    </row>
    <row r="41" spans="1:55" ht="17" x14ac:dyDescent="0.2">
      <c r="A41" s="8" t="s">
        <v>11</v>
      </c>
      <c r="B41" s="9" t="s">
        <v>55</v>
      </c>
      <c r="D41" s="9">
        <v>2015</v>
      </c>
      <c r="E41" s="9" t="s">
        <v>57</v>
      </c>
      <c r="F41" s="10">
        <v>12440000</v>
      </c>
      <c r="G41" s="10">
        <v>8183000</v>
      </c>
      <c r="K41" s="10">
        <v>283000</v>
      </c>
      <c r="S41" s="11">
        <v>11898000</v>
      </c>
      <c r="T41" s="11">
        <v>9021000</v>
      </c>
      <c r="U41" s="11">
        <v>2695000</v>
      </c>
      <c r="V41" s="11">
        <v>0</v>
      </c>
      <c r="W41" s="11">
        <v>182000</v>
      </c>
      <c r="X41" s="11">
        <v>4551000</v>
      </c>
      <c r="Y41" s="11">
        <v>474000</v>
      </c>
      <c r="Z41" s="11">
        <v>3154000</v>
      </c>
      <c r="AA41" s="11">
        <v>0</v>
      </c>
      <c r="AB41" s="11">
        <v>870000</v>
      </c>
      <c r="AC41" s="11">
        <v>16449000</v>
      </c>
      <c r="AP41" s="13">
        <v>7015000</v>
      </c>
      <c r="AQ41" s="13">
        <v>-423000</v>
      </c>
      <c r="AR41" s="13">
        <v>-18283000</v>
      </c>
      <c r="AT41" s="13">
        <v>371000</v>
      </c>
      <c r="AV41" s="14">
        <v>25750000</v>
      </c>
      <c r="AX41" s="19">
        <f t="shared" si="0"/>
        <v>0.71001941747572817</v>
      </c>
      <c r="AY41" s="14">
        <v>18283000</v>
      </c>
      <c r="BB41" s="14">
        <f t="shared" si="1"/>
        <v>0</v>
      </c>
      <c r="BC41" s="14">
        <f t="shared" si="2"/>
        <v>-9021000</v>
      </c>
    </row>
    <row r="42" spans="1:55" ht="17" x14ac:dyDescent="0.2">
      <c r="A42" s="8" t="s">
        <v>11</v>
      </c>
      <c r="B42" s="9" t="s">
        <v>55</v>
      </c>
      <c r="D42" s="9">
        <v>2015</v>
      </c>
      <c r="E42" s="9" t="s">
        <v>56</v>
      </c>
      <c r="F42" s="10">
        <v>11239000</v>
      </c>
      <c r="G42" s="10">
        <v>7581000</v>
      </c>
      <c r="K42" s="10">
        <v>277000</v>
      </c>
      <c r="S42" s="11">
        <v>23295000</v>
      </c>
      <c r="T42" s="11">
        <v>20712000</v>
      </c>
      <c r="U42" s="11">
        <v>2346000</v>
      </c>
      <c r="V42" s="11">
        <v>0</v>
      </c>
      <c r="W42" s="11">
        <v>237000</v>
      </c>
      <c r="X42" s="11">
        <v>4040000</v>
      </c>
      <c r="Y42" s="11">
        <v>363000</v>
      </c>
      <c r="Z42" s="11">
        <v>2832000</v>
      </c>
      <c r="AA42" s="11">
        <v>0</v>
      </c>
      <c r="AB42" s="11">
        <v>845000</v>
      </c>
      <c r="AC42" s="11">
        <v>27335000</v>
      </c>
      <c r="AP42" s="13">
        <v>6272000</v>
      </c>
      <c r="AQ42" s="13">
        <v>-718000</v>
      </c>
      <c r="AR42" s="13">
        <v>0</v>
      </c>
      <c r="AT42" s="13">
        <v>770000</v>
      </c>
      <c r="AV42" s="14">
        <v>25750000</v>
      </c>
      <c r="AX42" s="19">
        <f t="shared" si="0"/>
        <v>0</v>
      </c>
      <c r="AY42" s="14">
        <v>0</v>
      </c>
      <c r="BB42" s="14">
        <f t="shared" si="1"/>
        <v>0</v>
      </c>
      <c r="BC42" s="14">
        <f t="shared" si="2"/>
        <v>-20712000</v>
      </c>
    </row>
    <row r="43" spans="1:55" x14ac:dyDescent="0.2">
      <c r="A43" s="9" t="s">
        <v>64</v>
      </c>
      <c r="B43" s="9" t="s">
        <v>55</v>
      </c>
      <c r="C43" s="22">
        <v>45974</v>
      </c>
      <c r="D43" s="9">
        <v>2025</v>
      </c>
      <c r="E43" s="9" t="s">
        <v>58</v>
      </c>
      <c r="F43" s="10">
        <v>1372617000</v>
      </c>
      <c r="J43" s="10">
        <v>198544000</v>
      </c>
      <c r="Q43" s="10">
        <v>40812000</v>
      </c>
      <c r="S43" s="11">
        <v>539783000</v>
      </c>
      <c r="X43" s="11">
        <v>1757630000</v>
      </c>
      <c r="AD43" s="12">
        <v>408930000</v>
      </c>
      <c r="AH43" s="12">
        <v>554236000</v>
      </c>
      <c r="AK43" s="12">
        <v>1334247000</v>
      </c>
    </row>
  </sheetData>
  <autoFilter ref="A1:BC6" xr:uid="{B011D845-C0A1-6144-B026-372543A373DB}">
    <sortState xmlns:xlrd2="http://schemas.microsoft.com/office/spreadsheetml/2017/richdata2" ref="A2:BC6">
      <sortCondition descending="1" ref="D1:D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8E8B-D0DF-8741-8EB1-7F05546FE9ED}">
  <dimension ref="B7:AP29"/>
  <sheetViews>
    <sheetView topLeftCell="U1" workbookViewId="0">
      <selection activeCell="AH39" sqref="AH39"/>
    </sheetView>
  </sheetViews>
  <sheetFormatPr baseColWidth="10" defaultRowHeight="16" x14ac:dyDescent="0.2"/>
  <cols>
    <col min="11" max="11" width="11.83203125" bestFit="1" customWidth="1"/>
    <col min="35" max="35" width="12.5" bestFit="1" customWidth="1"/>
  </cols>
  <sheetData>
    <row r="7" spans="2:11" ht="17" x14ac:dyDescent="0.2">
      <c r="B7" s="16"/>
      <c r="K7" s="16"/>
    </row>
    <row r="8" spans="2:11" ht="17" x14ac:dyDescent="0.2">
      <c r="B8" s="16"/>
      <c r="K8" s="16"/>
    </row>
    <row r="9" spans="2:11" ht="17" x14ac:dyDescent="0.2">
      <c r="B9" s="16"/>
      <c r="K9" s="16"/>
    </row>
    <row r="10" spans="2:11" ht="17" x14ac:dyDescent="0.2">
      <c r="B10" s="16"/>
      <c r="K10" s="16"/>
    </row>
    <row r="11" spans="2:11" ht="17" x14ac:dyDescent="0.2">
      <c r="B11" s="16"/>
      <c r="K11" s="16"/>
    </row>
    <row r="12" spans="2:11" ht="17" x14ac:dyDescent="0.2">
      <c r="B12" s="16"/>
      <c r="K12" s="16"/>
    </row>
    <row r="13" spans="2:11" ht="17" x14ac:dyDescent="0.2">
      <c r="B13" s="16"/>
      <c r="K13" s="16"/>
    </row>
    <row r="14" spans="2:11" ht="17" x14ac:dyDescent="0.2">
      <c r="B14" s="16"/>
      <c r="K14" s="16"/>
    </row>
    <row r="20" spans="2:42" x14ac:dyDescent="0.2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2:42" x14ac:dyDescent="0.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2:42" ht="17" x14ac:dyDescent="0.2">
      <c r="B22" s="17"/>
      <c r="C22" s="17"/>
      <c r="D22" s="17"/>
      <c r="E22" s="17"/>
      <c r="F22" s="16"/>
      <c r="G22" s="17"/>
      <c r="H22" s="17"/>
      <c r="I22" s="17"/>
      <c r="J22" s="17"/>
      <c r="K22" s="17"/>
      <c r="L22" s="17"/>
      <c r="M22" s="17"/>
      <c r="N22" s="17"/>
      <c r="O22" s="16"/>
      <c r="P22" s="16"/>
      <c r="Q22" s="16"/>
    </row>
    <row r="27" spans="2:42" x14ac:dyDescent="0.2">
      <c r="B27" s="9">
        <v>2015</v>
      </c>
      <c r="C27" s="9">
        <v>2015</v>
      </c>
      <c r="D27" s="9">
        <v>2015</v>
      </c>
      <c r="E27" s="9">
        <v>2015</v>
      </c>
      <c r="F27" s="9">
        <v>2016</v>
      </c>
      <c r="G27" s="9">
        <v>2016</v>
      </c>
      <c r="H27" s="9">
        <v>2016</v>
      </c>
      <c r="I27" s="9">
        <v>2016</v>
      </c>
      <c r="J27" s="9">
        <v>2017</v>
      </c>
      <c r="K27" s="9">
        <v>2017</v>
      </c>
      <c r="L27" s="9">
        <v>2017</v>
      </c>
      <c r="M27" s="9">
        <v>2017</v>
      </c>
      <c r="N27" s="9">
        <v>2018</v>
      </c>
      <c r="O27" s="9">
        <v>2018</v>
      </c>
      <c r="P27" s="9">
        <v>2018</v>
      </c>
      <c r="Q27" s="9">
        <v>2018</v>
      </c>
      <c r="R27" s="9">
        <v>2019</v>
      </c>
      <c r="S27" s="9">
        <v>2019</v>
      </c>
      <c r="T27" s="9">
        <v>2019</v>
      </c>
      <c r="U27" s="9">
        <v>2019</v>
      </c>
      <c r="V27" s="9">
        <v>2020</v>
      </c>
      <c r="W27" s="9">
        <v>2020</v>
      </c>
      <c r="X27" s="9">
        <v>2020</v>
      </c>
      <c r="Y27" s="9">
        <v>2020</v>
      </c>
      <c r="Z27" s="9">
        <v>2021</v>
      </c>
      <c r="AA27" s="9">
        <v>2021</v>
      </c>
      <c r="AB27" s="9">
        <v>2021</v>
      </c>
      <c r="AC27" s="9">
        <v>2021</v>
      </c>
      <c r="AD27" s="9">
        <v>2022</v>
      </c>
      <c r="AE27" s="9">
        <v>2022</v>
      </c>
      <c r="AF27" s="9">
        <v>2022</v>
      </c>
      <c r="AG27" s="9">
        <v>2022</v>
      </c>
      <c r="AH27" s="9">
        <v>2023</v>
      </c>
      <c r="AI27" s="9">
        <v>2023</v>
      </c>
      <c r="AJ27" s="9">
        <v>2023</v>
      </c>
      <c r="AK27" s="9">
        <v>2023</v>
      </c>
      <c r="AL27" s="9">
        <v>2024</v>
      </c>
      <c r="AM27" s="9">
        <v>2024</v>
      </c>
      <c r="AN27" s="9">
        <v>2024</v>
      </c>
      <c r="AO27" s="9">
        <v>2024</v>
      </c>
      <c r="AP27" s="9">
        <v>2025</v>
      </c>
    </row>
    <row r="28" spans="2:42" ht="17" thickBot="1" x14ac:dyDescent="0.25">
      <c r="B28" s="9" t="s">
        <v>56</v>
      </c>
      <c r="C28" s="9" t="s">
        <v>57</v>
      </c>
      <c r="D28" s="9" t="s">
        <v>58</v>
      </c>
      <c r="E28" s="9" t="s">
        <v>59</v>
      </c>
      <c r="F28" s="9" t="s">
        <v>56</v>
      </c>
      <c r="G28" s="9" t="s">
        <v>57</v>
      </c>
      <c r="H28" s="9" t="s">
        <v>58</v>
      </c>
      <c r="I28" s="9" t="s">
        <v>59</v>
      </c>
      <c r="J28" s="9" t="s">
        <v>56</v>
      </c>
      <c r="K28" s="9" t="s">
        <v>57</v>
      </c>
      <c r="L28" s="9" t="s">
        <v>58</v>
      </c>
      <c r="M28" s="9" t="s">
        <v>59</v>
      </c>
      <c r="N28" s="9" t="s">
        <v>56</v>
      </c>
      <c r="O28" s="9" t="s">
        <v>57</v>
      </c>
      <c r="P28" s="9" t="s">
        <v>58</v>
      </c>
      <c r="Q28" s="9" t="s">
        <v>59</v>
      </c>
      <c r="R28" s="9" t="s">
        <v>56</v>
      </c>
      <c r="S28" s="9" t="s">
        <v>57</v>
      </c>
      <c r="T28" s="9" t="s">
        <v>58</v>
      </c>
      <c r="U28" s="9" t="s">
        <v>59</v>
      </c>
      <c r="V28" s="9" t="s">
        <v>56</v>
      </c>
      <c r="W28" s="9" t="s">
        <v>57</v>
      </c>
      <c r="X28" s="9" t="s">
        <v>58</v>
      </c>
      <c r="Y28" s="9" t="s">
        <v>59</v>
      </c>
      <c r="Z28" s="9" t="s">
        <v>56</v>
      </c>
      <c r="AA28" s="9" t="s">
        <v>57</v>
      </c>
      <c r="AB28" s="9" t="s">
        <v>58</v>
      </c>
      <c r="AC28" s="9" t="s">
        <v>59</v>
      </c>
      <c r="AD28" s="9" t="s">
        <v>56</v>
      </c>
      <c r="AE28" s="9" t="s">
        <v>57</v>
      </c>
      <c r="AF28" s="9" t="s">
        <v>58</v>
      </c>
      <c r="AG28" s="9" t="s">
        <v>59</v>
      </c>
      <c r="AH28" s="9" t="s">
        <v>56</v>
      </c>
      <c r="AI28" s="9" t="s">
        <v>57</v>
      </c>
      <c r="AJ28" s="9" t="s">
        <v>58</v>
      </c>
      <c r="AK28" s="9" t="s">
        <v>59</v>
      </c>
      <c r="AL28" s="9" t="s">
        <v>56</v>
      </c>
      <c r="AM28" s="9" t="s">
        <v>57</v>
      </c>
      <c r="AN28" s="9" t="s">
        <v>58</v>
      </c>
      <c r="AO28" s="9" t="s">
        <v>59</v>
      </c>
      <c r="AP28" s="9" t="s">
        <v>56</v>
      </c>
    </row>
    <row r="29" spans="2:42" ht="18" thickTop="1" x14ac:dyDescent="0.2">
      <c r="B29" s="20">
        <v>0</v>
      </c>
      <c r="C29" s="18">
        <v>-18283</v>
      </c>
      <c r="D29" s="20">
        <v>0</v>
      </c>
      <c r="E29" s="20">
        <v>0</v>
      </c>
      <c r="F29" s="20">
        <v>0</v>
      </c>
      <c r="G29" s="18">
        <v>-27810</v>
      </c>
      <c r="H29" s="20">
        <v>0</v>
      </c>
      <c r="I29" s="20">
        <v>0</v>
      </c>
      <c r="J29" s="20">
        <v>0</v>
      </c>
      <c r="K29" s="18">
        <v>-36308</v>
      </c>
      <c r="L29" s="20">
        <v>0</v>
      </c>
      <c r="M29" s="18">
        <v>-11330</v>
      </c>
      <c r="N29" s="20">
        <v>0</v>
      </c>
      <c r="O29" s="18">
        <v>-34248</v>
      </c>
      <c r="P29" s="20">
        <v>0</v>
      </c>
      <c r="Q29" s="18">
        <v>-13905</v>
      </c>
      <c r="R29" s="20">
        <v>0</v>
      </c>
      <c r="S29" s="18">
        <v>-36311</v>
      </c>
      <c r="T29" s="20">
        <v>3</v>
      </c>
      <c r="U29" s="18">
        <v>-15984</v>
      </c>
      <c r="V29" s="20">
        <v>-209</v>
      </c>
      <c r="W29" s="18">
        <v>-48617</v>
      </c>
      <c r="X29" s="20">
        <v>-206</v>
      </c>
      <c r="Y29" s="18">
        <v>-23122</v>
      </c>
      <c r="Z29" s="20">
        <v>-202</v>
      </c>
      <c r="AA29" s="18">
        <v>-72301</v>
      </c>
      <c r="AB29" s="20">
        <v>-200</v>
      </c>
      <c r="AC29" s="21">
        <v>140607</v>
      </c>
      <c r="AD29" s="21">
        <v>178621</v>
      </c>
      <c r="AE29" s="21">
        <v>137800</v>
      </c>
      <c r="AF29" s="21">
        <v>186328</v>
      </c>
      <c r="AG29" s="21">
        <v>201350</v>
      </c>
      <c r="AH29" s="21">
        <v>242487</v>
      </c>
      <c r="AI29" s="21">
        <v>168311</v>
      </c>
      <c r="AJ29" s="21">
        <v>209636</v>
      </c>
      <c r="AK29" s="21">
        <v>210139</v>
      </c>
      <c r="AL29" s="21">
        <v>258714</v>
      </c>
      <c r="AM29" s="21">
        <v>187355</v>
      </c>
      <c r="AN29" s="21">
        <v>227513</v>
      </c>
      <c r="AO29" s="21">
        <v>226705</v>
      </c>
      <c r="AP29" s="21">
        <v>256366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2D27-F5A7-A347-BBF7-ABB399FB9C91}">
  <dimension ref="B2:J43"/>
  <sheetViews>
    <sheetView workbookViewId="0">
      <selection activeCell="J3" sqref="J3:J16"/>
    </sheetView>
  </sheetViews>
  <sheetFormatPr baseColWidth="10" defaultRowHeight="16" x14ac:dyDescent="0.2"/>
  <cols>
    <col min="10" max="10" width="11.5" bestFit="1" customWidth="1"/>
  </cols>
  <sheetData>
    <row r="2" spans="2:10" ht="17" thickBot="1" x14ac:dyDescent="0.25">
      <c r="G2" t="s">
        <v>60</v>
      </c>
      <c r="H2" t="s">
        <v>61</v>
      </c>
      <c r="I2" t="s">
        <v>62</v>
      </c>
    </row>
    <row r="3" spans="2:10" ht="18" thickTop="1" thickBot="1" x14ac:dyDescent="0.25">
      <c r="B3" s="9">
        <v>2015</v>
      </c>
      <c r="C3" s="9" t="s">
        <v>56</v>
      </c>
      <c r="G3" s="9">
        <v>2025</v>
      </c>
      <c r="H3" s="9" t="s">
        <v>56</v>
      </c>
      <c r="I3" s="21">
        <v>256366</v>
      </c>
      <c r="J3" s="15">
        <f>I3*1000</f>
        <v>256366000</v>
      </c>
    </row>
    <row r="4" spans="2:10" ht="18" thickTop="1" thickBot="1" x14ac:dyDescent="0.25">
      <c r="B4" s="9">
        <v>2015</v>
      </c>
      <c r="C4" s="9" t="s">
        <v>57</v>
      </c>
      <c r="G4" s="9">
        <v>2024</v>
      </c>
      <c r="H4" s="9" t="s">
        <v>59</v>
      </c>
      <c r="I4" s="21">
        <v>226705</v>
      </c>
      <c r="J4" s="15">
        <f t="shared" ref="J4:J43" si="0">I4*1000</f>
        <v>226705000</v>
      </c>
    </row>
    <row r="5" spans="2:10" ht="18" thickTop="1" thickBot="1" x14ac:dyDescent="0.25">
      <c r="B5" s="9">
        <v>2015</v>
      </c>
      <c r="C5" s="9" t="s">
        <v>58</v>
      </c>
      <c r="G5" s="9">
        <v>2024</v>
      </c>
      <c r="H5" s="9" t="s">
        <v>58</v>
      </c>
      <c r="I5" s="21">
        <v>227513</v>
      </c>
      <c r="J5" s="15">
        <f t="shared" si="0"/>
        <v>227513000</v>
      </c>
    </row>
    <row r="6" spans="2:10" ht="18" thickTop="1" thickBot="1" x14ac:dyDescent="0.25">
      <c r="B6" s="9">
        <v>2015</v>
      </c>
      <c r="C6" s="9" t="s">
        <v>59</v>
      </c>
      <c r="G6" s="9">
        <v>2024</v>
      </c>
      <c r="H6" s="9" t="s">
        <v>57</v>
      </c>
      <c r="I6" s="21">
        <v>187355</v>
      </c>
      <c r="J6" s="15">
        <f t="shared" si="0"/>
        <v>187355000</v>
      </c>
    </row>
    <row r="7" spans="2:10" ht="18" thickTop="1" thickBot="1" x14ac:dyDescent="0.25">
      <c r="B7" s="9">
        <v>2016</v>
      </c>
      <c r="C7" s="9" t="s">
        <v>56</v>
      </c>
      <c r="G7" s="9">
        <v>2024</v>
      </c>
      <c r="H7" s="9" t="s">
        <v>56</v>
      </c>
      <c r="I7" s="21">
        <v>258714</v>
      </c>
      <c r="J7" s="15">
        <f t="shared" si="0"/>
        <v>258714000</v>
      </c>
    </row>
    <row r="8" spans="2:10" ht="18" thickTop="1" thickBot="1" x14ac:dyDescent="0.25">
      <c r="B8" s="9">
        <v>2016</v>
      </c>
      <c r="C8" s="9" t="s">
        <v>57</v>
      </c>
      <c r="G8" s="9">
        <v>2023</v>
      </c>
      <c r="H8" s="9" t="s">
        <v>59</v>
      </c>
      <c r="I8" s="21">
        <v>210139</v>
      </c>
      <c r="J8" s="15">
        <f t="shared" si="0"/>
        <v>210139000</v>
      </c>
    </row>
    <row r="9" spans="2:10" ht="18" thickTop="1" thickBot="1" x14ac:dyDescent="0.25">
      <c r="B9" s="9">
        <v>2016</v>
      </c>
      <c r="C9" s="9" t="s">
        <v>58</v>
      </c>
      <c r="G9" s="9">
        <v>2023</v>
      </c>
      <c r="H9" s="9" t="s">
        <v>58</v>
      </c>
      <c r="I9" s="21">
        <v>209636</v>
      </c>
      <c r="J9" s="15">
        <f t="shared" si="0"/>
        <v>209636000</v>
      </c>
    </row>
    <row r="10" spans="2:10" ht="18" thickTop="1" thickBot="1" x14ac:dyDescent="0.25">
      <c r="B10" s="9">
        <v>2016</v>
      </c>
      <c r="C10" s="9" t="s">
        <v>59</v>
      </c>
      <c r="G10" s="9">
        <v>2023</v>
      </c>
      <c r="H10" s="9" t="s">
        <v>57</v>
      </c>
      <c r="I10" s="21">
        <v>168311</v>
      </c>
      <c r="J10" s="15">
        <f t="shared" si="0"/>
        <v>168311000</v>
      </c>
    </row>
    <row r="11" spans="2:10" ht="18" thickTop="1" thickBot="1" x14ac:dyDescent="0.25">
      <c r="B11" s="9">
        <v>2017</v>
      </c>
      <c r="C11" s="9" t="s">
        <v>56</v>
      </c>
      <c r="G11" s="9">
        <v>2023</v>
      </c>
      <c r="H11" s="9" t="s">
        <v>56</v>
      </c>
      <c r="I11" s="21">
        <v>242487</v>
      </c>
      <c r="J11" s="15">
        <f t="shared" si="0"/>
        <v>242487000</v>
      </c>
    </row>
    <row r="12" spans="2:10" ht="18" thickTop="1" thickBot="1" x14ac:dyDescent="0.25">
      <c r="B12" s="9">
        <v>2017</v>
      </c>
      <c r="C12" s="9" t="s">
        <v>57</v>
      </c>
      <c r="G12" s="9">
        <v>2022</v>
      </c>
      <c r="H12" s="9" t="s">
        <v>59</v>
      </c>
      <c r="I12" s="21">
        <v>201350</v>
      </c>
      <c r="J12" s="15">
        <f t="shared" si="0"/>
        <v>201350000</v>
      </c>
    </row>
    <row r="13" spans="2:10" ht="18" thickTop="1" thickBot="1" x14ac:dyDescent="0.25">
      <c r="B13" s="9">
        <v>2017</v>
      </c>
      <c r="C13" s="9" t="s">
        <v>58</v>
      </c>
      <c r="G13" s="9">
        <v>2022</v>
      </c>
      <c r="H13" s="9" t="s">
        <v>58</v>
      </c>
      <c r="I13" s="21">
        <v>186328</v>
      </c>
      <c r="J13" s="15">
        <f t="shared" si="0"/>
        <v>186328000</v>
      </c>
    </row>
    <row r="14" spans="2:10" ht="18" thickTop="1" thickBot="1" x14ac:dyDescent="0.25">
      <c r="B14" s="9">
        <v>2017</v>
      </c>
      <c r="C14" s="9" t="s">
        <v>59</v>
      </c>
      <c r="G14" s="9">
        <v>2022</v>
      </c>
      <c r="H14" s="9" t="s">
        <v>57</v>
      </c>
      <c r="I14" s="21">
        <v>137800</v>
      </c>
      <c r="J14" s="15">
        <f t="shared" si="0"/>
        <v>137800000</v>
      </c>
    </row>
    <row r="15" spans="2:10" ht="18" thickTop="1" thickBot="1" x14ac:dyDescent="0.25">
      <c r="B15" s="9">
        <v>2018</v>
      </c>
      <c r="C15" s="9" t="s">
        <v>56</v>
      </c>
      <c r="G15" s="9">
        <v>2022</v>
      </c>
      <c r="H15" s="9" t="s">
        <v>56</v>
      </c>
      <c r="I15" s="21">
        <v>178621</v>
      </c>
      <c r="J15" s="15">
        <f t="shared" si="0"/>
        <v>178621000</v>
      </c>
    </row>
    <row r="16" spans="2:10" ht="17" thickTop="1" x14ac:dyDescent="0.2">
      <c r="B16" s="9">
        <v>2018</v>
      </c>
      <c r="C16" s="9" t="s">
        <v>57</v>
      </c>
      <c r="G16" s="9">
        <v>2021</v>
      </c>
      <c r="H16" s="9" t="s">
        <v>59</v>
      </c>
      <c r="I16" s="21">
        <v>140607</v>
      </c>
      <c r="J16" s="15">
        <f t="shared" si="0"/>
        <v>140607000</v>
      </c>
    </row>
    <row r="17" spans="2:10" ht="17" x14ac:dyDescent="0.2">
      <c r="B17" s="9">
        <v>2018</v>
      </c>
      <c r="C17" s="9" t="s">
        <v>58</v>
      </c>
      <c r="G17" s="9">
        <v>2021</v>
      </c>
      <c r="H17" s="9" t="s">
        <v>58</v>
      </c>
      <c r="I17" s="20"/>
      <c r="J17" s="15">
        <f t="shared" si="0"/>
        <v>0</v>
      </c>
    </row>
    <row r="18" spans="2:10" ht="17" x14ac:dyDescent="0.2">
      <c r="B18" s="9">
        <v>2018</v>
      </c>
      <c r="C18" s="9" t="s">
        <v>59</v>
      </c>
      <c r="G18" s="9">
        <v>2021</v>
      </c>
      <c r="H18" s="9" t="s">
        <v>57</v>
      </c>
      <c r="I18" s="18"/>
      <c r="J18" s="15">
        <f t="shared" si="0"/>
        <v>0</v>
      </c>
    </row>
    <row r="19" spans="2:10" ht="17" x14ac:dyDescent="0.2">
      <c r="B19" s="9">
        <v>2019</v>
      </c>
      <c r="C19" s="9" t="s">
        <v>56</v>
      </c>
      <c r="G19" s="9">
        <v>2021</v>
      </c>
      <c r="H19" s="9" t="s">
        <v>56</v>
      </c>
      <c r="I19" s="20"/>
      <c r="J19" s="15">
        <f t="shared" si="0"/>
        <v>0</v>
      </c>
    </row>
    <row r="20" spans="2:10" ht="17" x14ac:dyDescent="0.2">
      <c r="B20" s="9">
        <v>2019</v>
      </c>
      <c r="C20" s="9" t="s">
        <v>57</v>
      </c>
      <c r="G20" s="9">
        <v>2020</v>
      </c>
      <c r="H20" s="9" t="s">
        <v>59</v>
      </c>
      <c r="I20" s="18"/>
      <c r="J20" s="15">
        <f t="shared" si="0"/>
        <v>0</v>
      </c>
    </row>
    <row r="21" spans="2:10" ht="17" x14ac:dyDescent="0.2">
      <c r="B21" s="9">
        <v>2019</v>
      </c>
      <c r="C21" s="9" t="s">
        <v>58</v>
      </c>
      <c r="G21" s="9">
        <v>2020</v>
      </c>
      <c r="H21" s="9" t="s">
        <v>58</v>
      </c>
      <c r="I21" s="20"/>
      <c r="J21" s="15">
        <f t="shared" si="0"/>
        <v>0</v>
      </c>
    </row>
    <row r="22" spans="2:10" ht="17" x14ac:dyDescent="0.2">
      <c r="B22" s="9">
        <v>2019</v>
      </c>
      <c r="C22" s="9" t="s">
        <v>59</v>
      </c>
      <c r="G22" s="9">
        <v>2020</v>
      </c>
      <c r="H22" s="9" t="s">
        <v>57</v>
      </c>
      <c r="I22" s="18"/>
      <c r="J22" s="15">
        <f t="shared" si="0"/>
        <v>0</v>
      </c>
    </row>
    <row r="23" spans="2:10" ht="17" x14ac:dyDescent="0.2">
      <c r="B23" s="9">
        <v>2020</v>
      </c>
      <c r="C23" s="9" t="s">
        <v>56</v>
      </c>
      <c r="G23" s="9">
        <v>2020</v>
      </c>
      <c r="H23" s="9" t="s">
        <v>56</v>
      </c>
      <c r="I23" s="20"/>
      <c r="J23" s="15">
        <f t="shared" si="0"/>
        <v>0</v>
      </c>
    </row>
    <row r="24" spans="2:10" ht="17" x14ac:dyDescent="0.2">
      <c r="B24" s="9">
        <v>2020</v>
      </c>
      <c r="C24" s="9" t="s">
        <v>57</v>
      </c>
      <c r="G24" s="9">
        <v>2019</v>
      </c>
      <c r="H24" s="9" t="s">
        <v>59</v>
      </c>
      <c r="I24" s="18"/>
      <c r="J24" s="15">
        <f t="shared" si="0"/>
        <v>0</v>
      </c>
    </row>
    <row r="25" spans="2:10" ht="17" x14ac:dyDescent="0.2">
      <c r="B25" s="9">
        <v>2020</v>
      </c>
      <c r="C25" s="9" t="s">
        <v>58</v>
      </c>
      <c r="G25" s="9">
        <v>2019</v>
      </c>
      <c r="H25" s="9" t="s">
        <v>58</v>
      </c>
      <c r="I25" s="20"/>
      <c r="J25" s="15">
        <f t="shared" si="0"/>
        <v>0</v>
      </c>
    </row>
    <row r="26" spans="2:10" ht="17" x14ac:dyDescent="0.2">
      <c r="B26" s="9">
        <v>2020</v>
      </c>
      <c r="C26" s="9" t="s">
        <v>59</v>
      </c>
      <c r="G26" s="9">
        <v>2019</v>
      </c>
      <c r="H26" s="9" t="s">
        <v>57</v>
      </c>
      <c r="I26" s="18"/>
      <c r="J26" s="15">
        <f t="shared" si="0"/>
        <v>0</v>
      </c>
    </row>
    <row r="27" spans="2:10" ht="17" x14ac:dyDescent="0.2">
      <c r="B27" s="9">
        <v>2021</v>
      </c>
      <c r="C27" s="9" t="s">
        <v>56</v>
      </c>
      <c r="G27" s="9">
        <v>2019</v>
      </c>
      <c r="H27" s="9" t="s">
        <v>56</v>
      </c>
      <c r="I27" s="20"/>
      <c r="J27" s="15">
        <f t="shared" si="0"/>
        <v>0</v>
      </c>
    </row>
    <row r="28" spans="2:10" ht="17" x14ac:dyDescent="0.2">
      <c r="B28" s="9">
        <v>2021</v>
      </c>
      <c r="C28" s="9" t="s">
        <v>57</v>
      </c>
      <c r="G28" s="9">
        <v>2018</v>
      </c>
      <c r="H28" s="9" t="s">
        <v>59</v>
      </c>
      <c r="I28" s="18"/>
      <c r="J28" s="15">
        <f t="shared" si="0"/>
        <v>0</v>
      </c>
    </row>
    <row r="29" spans="2:10" ht="17" x14ac:dyDescent="0.2">
      <c r="B29" s="9">
        <v>2021</v>
      </c>
      <c r="C29" s="9" t="s">
        <v>58</v>
      </c>
      <c r="G29" s="9">
        <v>2018</v>
      </c>
      <c r="H29" s="9" t="s">
        <v>58</v>
      </c>
      <c r="I29" s="20"/>
      <c r="J29" s="15">
        <f t="shared" si="0"/>
        <v>0</v>
      </c>
    </row>
    <row r="30" spans="2:10" ht="17" x14ac:dyDescent="0.2">
      <c r="B30" s="9">
        <v>2021</v>
      </c>
      <c r="C30" s="9" t="s">
        <v>59</v>
      </c>
      <c r="G30" s="9">
        <v>2018</v>
      </c>
      <c r="H30" s="9" t="s">
        <v>57</v>
      </c>
      <c r="I30" s="18"/>
      <c r="J30" s="15">
        <f t="shared" si="0"/>
        <v>0</v>
      </c>
    </row>
    <row r="31" spans="2:10" ht="17" x14ac:dyDescent="0.2">
      <c r="B31" s="9">
        <v>2022</v>
      </c>
      <c r="C31" s="9" t="s">
        <v>56</v>
      </c>
      <c r="G31" s="9">
        <v>2018</v>
      </c>
      <c r="H31" s="9" t="s">
        <v>56</v>
      </c>
      <c r="I31" s="20"/>
      <c r="J31" s="15">
        <f t="shared" si="0"/>
        <v>0</v>
      </c>
    </row>
    <row r="32" spans="2:10" ht="17" x14ac:dyDescent="0.2">
      <c r="B32" s="9">
        <v>2022</v>
      </c>
      <c r="C32" s="9" t="s">
        <v>57</v>
      </c>
      <c r="G32" s="9">
        <v>2017</v>
      </c>
      <c r="H32" s="9" t="s">
        <v>59</v>
      </c>
      <c r="I32" s="18"/>
      <c r="J32" s="15">
        <f t="shared" si="0"/>
        <v>0</v>
      </c>
    </row>
    <row r="33" spans="2:10" ht="17" x14ac:dyDescent="0.2">
      <c r="B33" s="9">
        <v>2022</v>
      </c>
      <c r="C33" s="9" t="s">
        <v>58</v>
      </c>
      <c r="G33" s="9">
        <v>2017</v>
      </c>
      <c r="H33" s="9" t="s">
        <v>58</v>
      </c>
      <c r="I33" s="20"/>
      <c r="J33" s="15">
        <f t="shared" si="0"/>
        <v>0</v>
      </c>
    </row>
    <row r="34" spans="2:10" ht="17" x14ac:dyDescent="0.2">
      <c r="B34" s="9">
        <v>2022</v>
      </c>
      <c r="C34" s="9" t="s">
        <v>59</v>
      </c>
      <c r="G34" s="9">
        <v>2017</v>
      </c>
      <c r="H34" s="9" t="s">
        <v>57</v>
      </c>
      <c r="I34" s="18"/>
      <c r="J34" s="15">
        <f t="shared" si="0"/>
        <v>0</v>
      </c>
    </row>
    <row r="35" spans="2:10" ht="17" x14ac:dyDescent="0.2">
      <c r="B35" s="9">
        <v>2023</v>
      </c>
      <c r="C35" s="9" t="s">
        <v>56</v>
      </c>
      <c r="G35" s="9">
        <v>2017</v>
      </c>
      <c r="H35" s="9" t="s">
        <v>56</v>
      </c>
      <c r="I35" s="20"/>
      <c r="J35" s="15">
        <f t="shared" si="0"/>
        <v>0</v>
      </c>
    </row>
    <row r="36" spans="2:10" ht="17" x14ac:dyDescent="0.2">
      <c r="B36" s="9">
        <v>2023</v>
      </c>
      <c r="C36" s="9" t="s">
        <v>57</v>
      </c>
      <c r="G36" s="9">
        <v>2016</v>
      </c>
      <c r="H36" s="9" t="s">
        <v>59</v>
      </c>
      <c r="I36" s="20"/>
      <c r="J36" s="15">
        <f t="shared" si="0"/>
        <v>0</v>
      </c>
    </row>
    <row r="37" spans="2:10" ht="17" x14ac:dyDescent="0.2">
      <c r="B37" s="9">
        <v>2023</v>
      </c>
      <c r="C37" s="9" t="s">
        <v>58</v>
      </c>
      <c r="G37" s="9">
        <v>2016</v>
      </c>
      <c r="H37" s="9" t="s">
        <v>58</v>
      </c>
      <c r="I37" s="20"/>
      <c r="J37" s="15">
        <f t="shared" si="0"/>
        <v>0</v>
      </c>
    </row>
    <row r="38" spans="2:10" ht="17" x14ac:dyDescent="0.2">
      <c r="B38" s="9">
        <v>2023</v>
      </c>
      <c r="C38" s="9" t="s">
        <v>59</v>
      </c>
      <c r="G38" s="9">
        <v>2016</v>
      </c>
      <c r="H38" s="9" t="s">
        <v>57</v>
      </c>
      <c r="I38" s="18"/>
      <c r="J38" s="15">
        <f t="shared" si="0"/>
        <v>0</v>
      </c>
    </row>
    <row r="39" spans="2:10" ht="17" x14ac:dyDescent="0.2">
      <c r="B39" s="9">
        <v>2024</v>
      </c>
      <c r="C39" s="9" t="s">
        <v>56</v>
      </c>
      <c r="G39" s="9">
        <v>2016</v>
      </c>
      <c r="H39" s="9" t="s">
        <v>56</v>
      </c>
      <c r="I39" s="20"/>
      <c r="J39" s="15">
        <f t="shared" si="0"/>
        <v>0</v>
      </c>
    </row>
    <row r="40" spans="2:10" ht="17" x14ac:dyDescent="0.2">
      <c r="B40" s="9">
        <v>2024</v>
      </c>
      <c r="C40" s="9" t="s">
        <v>57</v>
      </c>
      <c r="G40" s="9">
        <v>2015</v>
      </c>
      <c r="H40" s="9" t="s">
        <v>59</v>
      </c>
      <c r="I40" s="20"/>
      <c r="J40" s="15">
        <f t="shared" si="0"/>
        <v>0</v>
      </c>
    </row>
    <row r="41" spans="2:10" ht="17" x14ac:dyDescent="0.2">
      <c r="B41" s="9">
        <v>2024</v>
      </c>
      <c r="C41" s="9" t="s">
        <v>58</v>
      </c>
      <c r="G41" s="9">
        <v>2015</v>
      </c>
      <c r="H41" s="9" t="s">
        <v>58</v>
      </c>
      <c r="I41" s="20"/>
      <c r="J41" s="15">
        <f t="shared" si="0"/>
        <v>0</v>
      </c>
    </row>
    <row r="42" spans="2:10" ht="17" x14ac:dyDescent="0.2">
      <c r="B42" s="9">
        <v>2024</v>
      </c>
      <c r="C42" s="9" t="s">
        <v>59</v>
      </c>
      <c r="G42" s="9">
        <v>2015</v>
      </c>
      <c r="H42" s="9" t="s">
        <v>57</v>
      </c>
      <c r="I42" s="18"/>
      <c r="J42" s="15">
        <f t="shared" si="0"/>
        <v>0</v>
      </c>
    </row>
    <row r="43" spans="2:10" ht="17" x14ac:dyDescent="0.2">
      <c r="B43" s="9">
        <v>2025</v>
      </c>
      <c r="C43" s="9" t="s">
        <v>56</v>
      </c>
      <c r="G43" s="9">
        <v>2015</v>
      </c>
      <c r="H43" s="9" t="s">
        <v>56</v>
      </c>
      <c r="I43" s="20"/>
      <c r="J43" s="15">
        <f t="shared" si="0"/>
        <v>0</v>
      </c>
    </row>
  </sheetData>
  <autoFilter ref="G2:I43" xr:uid="{EAEE2D27-F5A7-A347-BBF7-ABB399FB9C91}">
    <sortState xmlns:xlrd2="http://schemas.microsoft.com/office/spreadsheetml/2017/richdata2" ref="G3:I43">
      <sortCondition descending="1" ref="G2:G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Biernat</dc:creator>
  <cp:lastModifiedBy>Przemysław Biernat</cp:lastModifiedBy>
  <dcterms:created xsi:type="dcterms:W3CDTF">2025-11-20T20:38:11Z</dcterms:created>
  <dcterms:modified xsi:type="dcterms:W3CDTF">2025-11-24T09:20:13Z</dcterms:modified>
</cp:coreProperties>
</file>