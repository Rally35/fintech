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rzemekbiernat/Desktop/Docker/new_repo/data/"/>
    </mc:Choice>
  </mc:AlternateContent>
  <xr:revisionPtr revIDLastSave="0" documentId="13_ncr:1_{8A5CFC17-D92C-7247-8961-A8FB1E0A6049}" xr6:coauthVersionLast="47" xr6:coauthVersionMax="47" xr10:uidLastSave="{00000000-0000-0000-0000-000000000000}"/>
  <bookViews>
    <workbookView xWindow="0" yWindow="0" windowWidth="28800" windowHeight="18000" xr2:uid="{4D0C5E2C-C57E-9141-BB37-3F25EF873003}"/>
  </bookViews>
  <sheets>
    <sheet name="Sheet1" sheetId="2" r:id="rId1"/>
    <sheet name="Sheet2" sheetId="3" r:id="rId2"/>
    <sheet name="Sheet3" sheetId="4" r:id="rId3"/>
  </sheets>
  <definedNames>
    <definedName name="_xlnm._FilterDatabase" localSheetId="0" hidden="1">Sheet1!$A$1:$BC$44</definedName>
    <definedName name="_xlnm._FilterDatabase" localSheetId="2" hidden="1">Sheet3!$G$2:$I$43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2" i="2"/>
  <c r="BC2" i="2"/>
  <c r="BC3" i="2"/>
  <c r="AX2" i="2"/>
  <c r="J44" i="4"/>
  <c r="J45" i="4"/>
  <c r="BB4" i="2"/>
  <c r="BC4" i="2" s="1"/>
  <c r="BB5" i="2"/>
  <c r="BC5" i="2" s="1"/>
  <c r="BB6" i="2"/>
  <c r="BC6" i="2" s="1"/>
  <c r="BB7" i="2"/>
  <c r="BC7" i="2" s="1"/>
  <c r="BB8" i="2"/>
  <c r="BC8" i="2" s="1"/>
  <c r="BB9" i="2"/>
  <c r="BC9" i="2" s="1"/>
  <c r="BB10" i="2"/>
  <c r="BC10" i="2" s="1"/>
  <c r="BB11" i="2"/>
  <c r="BC11" i="2" s="1"/>
  <c r="BB12" i="2"/>
  <c r="BC12" i="2" s="1"/>
  <c r="BB13" i="2"/>
  <c r="BC13" i="2" s="1"/>
  <c r="BB14" i="2"/>
  <c r="BC14" i="2" s="1"/>
  <c r="BB15" i="2"/>
  <c r="BC15" i="2" s="1"/>
  <c r="BB16" i="2"/>
  <c r="BC16" i="2" s="1"/>
  <c r="BB17" i="2"/>
  <c r="BC17" i="2" s="1"/>
  <c r="BB18" i="2"/>
  <c r="BC18" i="2" s="1"/>
  <c r="BB19" i="2"/>
  <c r="BC19" i="2" s="1"/>
  <c r="BB20" i="2"/>
  <c r="BC20" i="2" s="1"/>
  <c r="BB21" i="2"/>
  <c r="BC21" i="2" s="1"/>
  <c r="BB22" i="2"/>
  <c r="BC22" i="2" s="1"/>
  <c r="BB23" i="2"/>
  <c r="BC23" i="2" s="1"/>
  <c r="BB24" i="2"/>
  <c r="BC24" i="2" s="1"/>
  <c r="BB25" i="2"/>
  <c r="BC25" i="2" s="1"/>
  <c r="BB26" i="2"/>
  <c r="BC26" i="2" s="1"/>
  <c r="BB27" i="2"/>
  <c r="BC27" i="2" s="1"/>
  <c r="BB28" i="2"/>
  <c r="BC28" i="2" s="1"/>
  <c r="BB29" i="2"/>
  <c r="BC29" i="2" s="1"/>
  <c r="BB30" i="2"/>
  <c r="BC30" i="2" s="1"/>
  <c r="BB31" i="2"/>
  <c r="BC31" i="2" s="1"/>
  <c r="BB32" i="2"/>
  <c r="BC32" i="2" s="1"/>
  <c r="BB33" i="2"/>
  <c r="BC33" i="2" s="1"/>
  <c r="BB34" i="2"/>
  <c r="BC34" i="2" s="1"/>
  <c r="BB35" i="2"/>
  <c r="BC35" i="2" s="1"/>
  <c r="BB36" i="2"/>
  <c r="BC36" i="2" s="1"/>
  <c r="BB37" i="2"/>
  <c r="BC37" i="2" s="1"/>
  <c r="BB38" i="2"/>
  <c r="BC38" i="2" s="1"/>
  <c r="BB39" i="2"/>
  <c r="BC39" i="2" s="1"/>
  <c r="BB40" i="2"/>
  <c r="BC40" i="2" s="1"/>
  <c r="BB41" i="2"/>
  <c r="BC41" i="2" s="1"/>
  <c r="BB42" i="2"/>
  <c r="BC42" i="2" s="1"/>
  <c r="BB43" i="2"/>
  <c r="BC43" i="2" s="1"/>
  <c r="BB3" i="2"/>
  <c r="J3" i="4" l="1"/>
  <c r="J4" i="4"/>
  <c r="J5" i="4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3" i="2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</calcChain>
</file>

<file path=xl/sharedStrings.xml><?xml version="1.0" encoding="utf-8"?>
<sst xmlns="http://schemas.openxmlformats.org/spreadsheetml/2006/main" count="440" uniqueCount="65">
  <si>
    <t>Ticker</t>
  </si>
  <si>
    <t>Rok</t>
  </si>
  <si>
    <t>Przychody</t>
  </si>
  <si>
    <t>Zysk_Netto</t>
  </si>
  <si>
    <t>EBITDA</t>
  </si>
  <si>
    <t>Kapital_Wlasny</t>
  </si>
  <si>
    <t>Dlug_Netto</t>
  </si>
  <si>
    <t>Przeplywy_Operacyjne</t>
  </si>
  <si>
    <t>Liczba_Akcji</t>
  </si>
  <si>
    <t>Cena_Akcji</t>
  </si>
  <si>
    <t>Dywidenda_na_Akcje</t>
  </si>
  <si>
    <t>TXT.WA</t>
  </si>
  <si>
    <t>Waluta</t>
  </si>
  <si>
    <t>Kwartal</t>
  </si>
  <si>
    <t>Koszty_Sprzedanych_Produktow</t>
  </si>
  <si>
    <t>Zysk_Brutto_Ze_Sprzedazy</t>
  </si>
  <si>
    <t>Koszty_Operacyjne</t>
  </si>
  <si>
    <t>Amortyzacja</t>
  </si>
  <si>
    <t>EBIT</t>
  </si>
  <si>
    <t>Przychody_Finansowe</t>
  </si>
  <si>
    <t>Koszty_Finansowe</t>
  </si>
  <si>
    <t>Zysk_Brutto</t>
  </si>
  <si>
    <t>Podatek_Dochodowy</t>
  </si>
  <si>
    <t>Zysk_Netto_Jednostki_Dominujacej</t>
  </si>
  <si>
    <t>Aktywa_Obrotowe</t>
  </si>
  <si>
    <t>Srodki_Pieniezne</t>
  </si>
  <si>
    <t>Naleznosci_Krotkoterminowe</t>
  </si>
  <si>
    <t>Zapasy</t>
  </si>
  <si>
    <t>Pozostale_Aktywa_Obrotowe</t>
  </si>
  <si>
    <t>Aktywa_Trwale</t>
  </si>
  <si>
    <t>Rzeczowe_Aktywa_Trwale</t>
  </si>
  <si>
    <t>Wartosci_Niematerialne</t>
  </si>
  <si>
    <t>Inwestycje_Dlugoterminowe</t>
  </si>
  <si>
    <t>Pozostale_Aktywa_Trwale</t>
  </si>
  <si>
    <t>Aktywa_Razem</t>
  </si>
  <si>
    <t>Zobowiazania_Krotkoterminowe</t>
  </si>
  <si>
    <t>Dlug_Krotkoterminowy</t>
  </si>
  <si>
    <t>Zobowiazania_Handlowe</t>
  </si>
  <si>
    <t>Pozostale_Zobowiazania_Krotkoterminowe</t>
  </si>
  <si>
    <t>Zobowiazania_Dlugoterminowe</t>
  </si>
  <si>
    <t>Dlug_Dlugoterminowy</t>
  </si>
  <si>
    <t>Pozostale_Zobowiazania_Dlugoterminowe</t>
  </si>
  <si>
    <t>Kapital_Zakladowy</t>
  </si>
  <si>
    <t>Kapital_Zapasowy</t>
  </si>
  <si>
    <t>Zyski_Zatrzymane</t>
  </si>
  <si>
    <t>Pasywa_Razem</t>
  </si>
  <si>
    <t>Przeplywy_Inwestycyjne</t>
  </si>
  <si>
    <t>Przeplywy_Finansowe</t>
  </si>
  <si>
    <t>Zmiana_Stanu_Srodkow</t>
  </si>
  <si>
    <t>Capex</t>
  </si>
  <si>
    <t>Free_Cash_Flow</t>
  </si>
  <si>
    <t>Dywidenda_Calkowita</t>
  </si>
  <si>
    <t>Koszty_Wynagrodzen</t>
  </si>
  <si>
    <t>Liczba_Pracownikow</t>
  </si>
  <si>
    <t>Dlug_Brutto</t>
  </si>
  <si>
    <t>PLN</t>
  </si>
  <si>
    <t>Q1</t>
  </si>
  <si>
    <t>Q2</t>
  </si>
  <si>
    <t>Q3</t>
  </si>
  <si>
    <t>Q4</t>
  </si>
  <si>
    <t>year</t>
  </si>
  <si>
    <t>q</t>
  </si>
  <si>
    <t>val</t>
  </si>
  <si>
    <t>Data_publikacji</t>
  </si>
  <si>
    <t>PCR.WA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</si>
</sst>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name val="Aptos Narrow"/>
      <family val="2"/>
      <scheme val="minor"/>
    </font>
    <font>
      <sz val="13"/>
      <color rgb="FF333333"/>
      <name val="Lucida Grande"/>
      <family val="2"/>
    </font>
    <font>
      <b/>
      <sz val="13"/>
      <color rgb="FF333333"/>
      <name val="Lucida Grande"/>
      <family val="2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9">
    <xf numFmtId="0" fontId="0" fillId="0" borderId="0" xfId="0"/>
    <xf numFmtId="0" fontId="1" fillId="5" borderId="1" xfId="0" applyFont="1" applyFill="1" applyBorder="1"/>
    <xf numFmtId="0" fontId="1" fillId="4" borderId="1" xfId="0" applyFont="1" applyFill="1" applyBorder="1"/>
    <xf numFmtId="0" fontId="1" fillId="7" borderId="1" xfId="0" applyFont="1" applyFill="1" applyBorder="1"/>
    <xf numFmtId="0" fontId="1" fillId="9" borderId="1" xfId="0" applyFont="1" applyFill="1" applyBorder="1"/>
    <xf numFmtId="0" fontId="1" fillId="11" borderId="1" xfId="0" applyFont="1" applyFill="1" applyBorder="1"/>
    <xf numFmtId="0" fontId="1" fillId="13" borderId="1" xfId="0" applyFont="1" applyFill="1" applyBorder="1"/>
    <xf numFmtId="0" fontId="2" fillId="0" borderId="0" xfId="0" applyFont="1"/>
    <xf numFmtId="0" fontId="2" fillId="2" borderId="0" xfId="0" applyFont="1" applyFill="1"/>
    <xf numFmtId="0" fontId="2" fillId="12" borderId="0" xfId="0" applyFont="1" applyFill="1"/>
    <xf numFmtId="3" fontId="0" fillId="0" borderId="0" xfId="0" applyNumberFormat="1"/>
    <xf numFmtId="3" fontId="3" fillId="0" borderId="0" xfId="0" applyNumberFormat="1" applyFont="1"/>
    <xf numFmtId="0" fontId="3" fillId="0" borderId="0" xfId="0" applyFont="1"/>
    <xf numFmtId="3" fontId="4" fillId="0" borderId="0" xfId="0" applyNumberFormat="1" applyFont="1"/>
    <xf numFmtId="0" fontId="5" fillId="0" borderId="0" xfId="1"/>
    <xf numFmtId="0" fontId="2" fillId="12" borderId="0" xfId="0" applyFont="1" applyFill="1" applyBorder="1"/>
    <xf numFmtId="0" fontId="2" fillId="12" borderId="2" xfId="0" applyFont="1" applyFill="1" applyBorder="1"/>
    <xf numFmtId="0" fontId="2" fillId="2" borderId="3" xfId="0" applyFont="1" applyFill="1" applyBorder="1"/>
    <xf numFmtId="0" fontId="2" fillId="2" borderId="3" xfId="0" applyFont="1" applyFill="1" applyBorder="1" applyAlignment="1">
      <alignment wrapText="1"/>
    </xf>
    <xf numFmtId="0" fontId="2" fillId="3" borderId="5" xfId="0" applyFont="1" applyFill="1" applyBorder="1"/>
    <xf numFmtId="0" fontId="2" fillId="2" borderId="5" xfId="0" applyFont="1" applyFill="1" applyBorder="1"/>
    <xf numFmtId="14" fontId="2" fillId="2" borderId="5" xfId="0" applyNumberFormat="1" applyFont="1" applyFill="1" applyBorder="1"/>
    <xf numFmtId="0" fontId="2" fillId="6" borderId="5" xfId="0" applyFont="1" applyFill="1" applyBorder="1"/>
    <xf numFmtId="0" fontId="2" fillId="8" borderId="5" xfId="0" applyFont="1" applyFill="1" applyBorder="1"/>
    <xf numFmtId="0" fontId="2" fillId="10" borderId="5" xfId="0" applyFont="1" applyFill="1" applyBorder="1"/>
    <xf numFmtId="0" fontId="1" fillId="13" borderId="4" xfId="0" applyFont="1" applyFill="1" applyBorder="1"/>
    <xf numFmtId="0" fontId="2" fillId="12" borderId="5" xfId="0" applyFont="1" applyFill="1" applyBorder="1"/>
    <xf numFmtId="2" fontId="2" fillId="12" borderId="5" xfId="0" applyNumberFormat="1" applyFont="1" applyFill="1" applyBorder="1"/>
    <xf numFmtId="0" fontId="2" fillId="2" borderId="6" xfId="0" applyFont="1" applyFill="1" applyBorder="1" applyAlignment="1">
      <alignment wrapText="1"/>
    </xf>
    <xf numFmtId="0" fontId="2" fillId="2" borderId="7" xfId="0" applyFont="1" applyFill="1" applyBorder="1"/>
    <xf numFmtId="14" fontId="2" fillId="2" borderId="7" xfId="0" applyNumberFormat="1" applyFont="1" applyFill="1" applyBorder="1"/>
    <xf numFmtId="0" fontId="2" fillId="3" borderId="7" xfId="0" applyFont="1" applyFill="1" applyBorder="1"/>
    <xf numFmtId="0" fontId="2" fillId="6" borderId="7" xfId="0" applyFont="1" applyFill="1" applyBorder="1"/>
    <xf numFmtId="0" fontId="2" fillId="8" borderId="7" xfId="0" applyFont="1" applyFill="1" applyBorder="1"/>
    <xf numFmtId="0" fontId="2" fillId="10" borderId="7" xfId="0" applyFont="1" applyFill="1" applyBorder="1"/>
    <xf numFmtId="0" fontId="2" fillId="12" borderId="7" xfId="0" applyFont="1" applyFill="1" applyBorder="1"/>
    <xf numFmtId="2" fontId="2" fillId="12" borderId="7" xfId="0" applyNumberFormat="1" applyFont="1" applyFill="1" applyBorder="1"/>
    <xf numFmtId="0" fontId="2" fillId="12" borderId="8" xfId="0" applyFont="1" applyFill="1" applyBorder="1"/>
    <xf numFmtId="0" fontId="2" fillId="0" borderId="9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510A8D9-990C-EA42-B2D8-19A6B91D494C}">
  <we:reference id="0986d9dd-94f1-4b67-978d-c4cf6e6142a8" version="21.5.1.1" store="EXCatalog" storeType="EXCatalog"/>
  <we:alternateReferences>
    <we:reference id="WA200000018" version="21.5.1.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PSINORMAL</we:customFunctionIds>
        <we:customFunctionIds>PSIBERNOULLI</we:customFunctionIds>
        <we:customFunctionIds>PSIBETA</we:customFunctionIds>
        <we:customFunctionIds>PSIBETAGEN</we:customFunctionIds>
        <we:customFunctionIds>PSIBETASUBJ</we:customFunctionIds>
        <we:customFunctionIds>PSIBINOMIAL</we:customFunctionIds>
        <we:customFunctionIds>PSICAUCHY</we:customFunctionIds>
        <we:customFunctionIds>PSICHISQUARE</we:customFunctionIds>
        <we:customFunctionIds>PSICUMUL</we:customFunctionIds>
        <we:customFunctionIds>PSICUMULD</we:customFunctionIds>
        <we:customFunctionIds>PSIDISCRETE</we:customFunctionIds>
        <we:customFunctionIds>PSIDISUNIFORM</we:customFunctionIds>
        <we:customFunctionIds>PSIERF</we:customFunctionIds>
        <we:customFunctionIds>PSIERLANG</we:customFunctionIds>
        <we:customFunctionIds>PSIEXPONENTIAL</we:customFunctionIds>
        <we:customFunctionIds>PSIGAMMA</we:customFunctionIds>
        <we:customFunctionIds>PSIGENERAL</we:customFunctionIds>
        <we:customFunctionIds>PSIGEOMETRIC</we:customFunctionIds>
        <we:customFunctionIds>PSIHISTOGRAM</we:customFunctionIds>
        <we:customFunctionIds>PSIHYPERGEO</we:customFunctionIds>
        <we:customFunctionIds>PSIINTUNIFORM</we:customFunctionIds>
        <we:customFunctionIds>PSIINVNORMAL</we:customFunctionIds>
        <we:customFunctionIds>PSILAPLACE</we:customFunctionIds>
        <we:customFunctionIds>PSILOGARITHMIC</we:customFunctionIds>
        <we:customFunctionIds>PSILOGISTIC</we:customFunctionIds>
        <we:customFunctionIds>PSILOGLOGISTIC</we:customFunctionIds>
        <we:customFunctionIds>PSILOGNORMAL</we:customFunctionIds>
        <we:customFunctionIds>PSILOGNORM2</we:customFunctionIds>
        <we:customFunctionIds>PSIMAXEXTREME</we:customFunctionIds>
        <we:customFunctionIds>PSIMINEXTREME</we:customFunctionIds>
        <we:customFunctionIds>PSIMYERSON</we:customFunctionIds>
        <we:customFunctionIds>PSINEGBINOMIAL</we:customFunctionIds>
        <we:customFunctionIds>PSINORMALSKEW</we:customFunctionIds>
        <we:customFunctionIds>PSIPARETO</we:customFunctionIds>
        <we:customFunctionIds>PSIPARETO2</we:customFunctionIds>
        <we:customFunctionIds>PSIPEARSON5</we:customFunctionIds>
        <we:customFunctionIds>PSIPEARSON6</we:customFunctionIds>
        <we:customFunctionIds>PSIPERT</we:customFunctionIds>
        <we:customFunctionIds>PSIPOISSON</we:customFunctionIds>
        <we:customFunctionIds>PSIRAYLEIGH</we:customFunctionIds>
        <we:customFunctionIds>PSISTUDENT</we:customFunctionIds>
        <we:customFunctionIds>PSITRIANGULAR</we:customFunctionIds>
        <we:customFunctionIds>PSITRIANGGEN</we:customFunctionIds>
        <we:customFunctionIds>PSIUNIFORM</we:customFunctionIds>
        <we:customFunctionIds>PSIWEIBULL</we:customFunctionIds>
        <we:customFunctionIds>PSIBURR12</we:customFunctionIds>
        <we:customFunctionIds>PSIDAGUM</we:customFunctionIds>
        <we:customFunctionIds>PSIDBLTRIANG</we:customFunctionIds>
        <we:customFunctionIds>PSIFDIST</we:customFunctionIds>
        <we:customFunctionIds>PSIFATIGUELIFE</we:customFunctionIds>
        <we:customFunctionIds>PSIFRECHET</we:customFunctionIds>
        <we:customFunctionIds>PSIHYPSECANT</we:customFunctionIds>
        <we:customFunctionIds>PSIJOHNSONSB</we:customFunctionIds>
        <we:customFunctionIds>PSIJOHNSONSU</we:customFunctionIds>
        <we:customFunctionIds>PSIKUMARASWAMY</we:customFunctionIds>
        <we:customFunctionIds>PSILEVY</we:customFunctionIds>
        <we:customFunctionIds>PSIRECIPROCAL</we:customFunctionIds>
        <we:customFunctionIds>PSIVARY</we:customFunctionIds>
        <we:customFunctionIds>PSIMVLOGNORMAL</we:customFunctionIds>
        <we:customFunctionIds>PSIMVNORMAL</we:customFunctionIds>
        <we:customFunctionIds>PSIMVRESAMPLE</we:customFunctionIds>
        <we:customFunctionIds>PSIMVSHUFFLE</we:customFunctionIds>
        <we:customFunctionIds>PSIMEAN</we:customFunctionIds>
        <we:customFunctionIds>PSITHEOMEAN</we:customFunctionIds>
        <we:customFunctionIds>PSILOCK</we:customFunctionIds>
        <we:customFunctionIds>PSINAME</we:customFunctionIds>
        <we:customFunctionIds>PSISHIFT</we:customFunctionIds>
        <we:customFunctionIds>PSISAMPLE</we:customFunctionIds>
        <we:customFunctionIds>PSITRUNCATE</we:customFunctionIds>
        <we:customFunctionIds>PSISEED</we:customFunctionIds>
        <we:customFunctionIds>PSISIXSIGMA</we:customFunctionIds>
        <we:customFunctionIds>PSITSSYNC</we:customFunctionIds>
        <we:customFunctionIds>PSICONVERGENCE</we:customFunctionIds>
        <we:customFunctionIds>PSIISDATE</we:customFunctionIds>
        <we:customFunctionIds>PSIISDISCRETE</we:customFunctionIds>
        <we:customFunctionIds>PSILIBRARY</we:customFunctionIds>
        <we:customFunctionIds>PSIFITINFO</we:customFunctionIds>
        <we:customFunctionIds>PSIOUTPUT</we:customFunctionIds>
        <we:customFunctionIds>PSIINPUT</we:customFunctionIds>
        <we:customFunctionIds>PSISIMPARAM</we:customFunctionIds>
        <we:customFunctionIds>PSISENPARAM</we:customFunctionIds>
        <we:customFunctionIds>PSIOPTPARAM</we:customFunctionIds>
        <we:customFunctionIds>PSICALCPARAM</we:customFunctionIds>
        <we:customFunctionIds>PSISLURP</we:customFunctionIds>
        <we:customFunctionIds>PSISIP</we:customFunctionIds>
        <we:customFunctionIds>PSITSSIP</we:customFunctionIds>
        <we:customFunctionIds>PSICORRMATRIX</we:customFunctionIds>
        <we:customFunctionIds>PSICORRDEPEN</we:customFunctionIds>
        <we:customFunctionIds>PSICORRINDEP</we:customFunctionIds>
        <we:customFunctionIds>PSIFIT</we:customFunctionIds>
        <we:customFunctionIds>PSIDATA</we:customFunctionIds>
        <we:customFunctionIds>PSIKURTOSIS</we:customFunctionIds>
        <we:customFunctionIds>PSITHEOKURTOSIS</we:customFunctionIds>
        <we:customFunctionIds>PSIMAX</we:customFunctionIds>
        <we:customFunctionIds>PSITHEOMAX</we:customFunctionIds>
        <we:customFunctionIds>PSIMIN</we:customFunctionIds>
        <we:customFunctionIds>PSITHEOMIN</we:customFunctionIds>
        <we:customFunctionIds>PSIMODE</we:customFunctionIds>
        <we:customFunctionIds>PSITHEOMODE</we:customFunctionIds>
        <we:customFunctionIds>PSIPERCENTILE</we:customFunctionIds>
        <we:customFunctionIds>PSITHEOPERCENTILE</we:customFunctionIds>
        <we:customFunctionIds>PSIPTOX</we:customFunctionIds>
        <we:customFunctionIds>PSITHEOPTOX</we:customFunctionIds>
        <we:customFunctionIds>PSIPERCENTILED</we:customFunctionIds>
        <we:customFunctionIds>PSITHEOPERCENTILED</we:customFunctionIds>
        <we:customFunctionIds>PSIQTOX</we:customFunctionIds>
        <we:customFunctionIds>PSITHEOQTOX</we:customFunctionIds>
        <we:customFunctionIds>PSIRANGE</we:customFunctionIds>
        <we:customFunctionIds>PSITHEORANGE</we:customFunctionIds>
        <we:customFunctionIds>PSISKEWNESS</we:customFunctionIds>
        <we:customFunctionIds>PSITHEOSKEWNESS</we:customFunctionIds>
        <we:customFunctionIds>PSISTDDEV</we:customFunctionIds>
        <we:customFunctionIds>PSITHEOSTDDEV</we:customFunctionIds>
        <we:customFunctionIds>PSITARGET</we:customFunctionIds>
        <we:customFunctionIds>PSITHEOTARGET</we:customFunctionIds>
        <we:customFunctionIds>PSIXTOP</we:customFunctionIds>
        <we:customFunctionIds>PSITHEOXTOP</we:customFunctionIds>
        <we:customFunctionIds>PSITARGETD</we:customFunctionIds>
        <we:customFunctionIds>PSITHEOTARGETD</we:customFunctionIds>
        <we:customFunctionIds>PSIXTOQ</we:customFunctionIds>
        <we:customFunctionIds>PSITHEOXTOQ</we:customFunctionIds>
        <we:customFunctionIds>PSITHEOXTOY</we:customFunctionIds>
        <we:customFunctionIds>PSIVARIANCE</we:customFunctionIds>
        <we:customFunctionIds>PSITHEOVARIANCE</we:customFunctionIds>
        <we:customFunctionIds>PSIABSDEV</we:customFunctionIds>
        <we:customFunctionIds>PSICITRIALS</we:customFunctionIds>
        <we:customFunctionIds>PSICORRELATION</we:customFunctionIds>
        <we:customFunctionIds>PSIFREQUENCY</we:customFunctionIds>
        <we:customFunctionIds>PSIMEANCI</we:customFunctionIds>
        <we:customFunctionIds>PSIMEANCIB</we:customFunctionIds>
        <we:customFunctionIds>PSISEMIDEV</we:customFunctionIds>
        <we:customFunctionIds>PSISEMIDEV2</we:customFunctionIds>
        <we:customFunctionIds>PSISEMIVAR</we:customFunctionIds>
        <we:customFunctionIds>PSISEMIVAR2</we:customFunctionIds>
        <we:customFunctionIds>PSISTDDEVCI</we:customFunctionIds>
        <we:customFunctionIds>PSIBVAR</we:customFunctionIds>
        <we:customFunctionIds>PSICVAR</we:customFunctionIds>
        <we:customFunctionIds>PSICURRENTTRIAL</we:customFunctionIds>
        <we:customFunctionIds>PSICURRENTSIM</we:customFunctionIds>
        <we:customFunctionIds>PSICOUNT</we:customFunctionIds>
        <we:customFunctionIds>PSISENVALUE</we:customFunctionIds>
        <we:customFunctionIds>PSICURRENTOPT</we:customFunctionIds>
        <we:customFunctionIds>PSIMEDIAN</we:customFunctionIds>
        <we:customFunctionIds>PSITHEOMEDIAN</we:customFunctionIds>
        <we:customFunctionIds>PSIDIM</we:customFunctionIds>
        <we:customFunctionIds>PSICUBE</we:customFunctionIds>
        <we:customFunctionIds>PSIREDUCE</we:customFunctionIds>
        <we:customFunctionIds>PSIJOIN</we:customFunctionIds>
        <we:customFunctionIds>PSIOPTSTATUS</we:customFunctionIds>
        <we:customFunctionIds>PSIPIVOTCUBE</we:customFunctionIds>
        <we:customFunctionIds>PSICALCVALUE</we:customFunctionIds>
        <we:customFunctionIds>PSIOPTDATA</we:customFunctionIds>
        <we:customFunctionIds>PSIPARAMDIM</we:customFunctionIds>
        <we:customFunctionIds>PSIPIVOTDIM</we:customFunctionIds>
        <we:customFunctionIds>PSICUBEOUTPUT</we:customFunctionIds>
        <we:customFunctionIds>PSIDIMLOCK</we:customFunctionIds>
        <we:customFunctionIds>PSIDIMACTIVE</we:customFunctionIds>
        <we:customFunctionIds>PSICUBEDATA</we:customFunctionIds>
        <we:customFunctionIds>PSISIMOUTPUT</we:customFunctionIds>
        <we:customFunctionIds>PSISIMDATA</we:customFunctionIds>
        <we:customFunctionIds>PSIRESAMPLE</we:customFunctionIds>
        <we:customFunctionIds>PSITABLECUBE</we:customFunctionIds>
        <we:customFunctionIds>PSICOMPOUND</we:customFunctionIds>
        <we:customFunctionIds>PSICOPULA</we:customFunctionIds>
        <we:customFunctionIds>PSICOPULASTUDENT</we:customFunctionIds>
        <we:customFunctionIds>PSICOPULAGAUSS</we:customFunctionIds>
        <we:customFunctionIds>PSIKENDALLTAU</we:customFunctionIds>
        <we:customFunctionIds>PSISPEARMANRHO</we:customFunctionIds>
        <we:customFunctionIds>PSIMETALOG</we:customFunctionIds>
        <we:customFunctionIds>PSIMETALOGSPT</we:customFunctionIds>
        <we:customFunctionIds>PSIMETALOGFIT</we:customFunctionIds>
        <we:customFunctionIds>PSIDATASRC</we:customFunctionIds>
        <we:customFunctionIds>PSIMODELSRC</we:customFunctionIds>
        <we:customFunctionIds>PSISIGMACP</we:customFunctionIds>
        <we:customFunctionIds>PSISIGMACPK</we:customFunctionIds>
        <we:customFunctionIds>PSISIGMACPKLOWER</we:customFunctionIds>
        <we:customFunctionIds>PSISIGMACPKUPPER</we:customFunctionIds>
        <we:customFunctionIds>PSISIGMACPM</we:customFunctionIds>
        <we:customFunctionIds>PSISIGMADEFECTPPM</we:customFunctionIds>
        <we:customFunctionIds>PSISIGMADEFECTSHIFTPPM</we:customFunctionIds>
        <we:customFunctionIds>PSISIGMADEFECTSHIFTPPMLower</we:customFunctionIds>
        <we:customFunctionIds>PSISIGMADEFECTSHIFTPPMUPPER</we:customFunctionIds>
        <we:customFunctionIds>PSISIGMAK</we:customFunctionIds>
        <we:customFunctionIds>PSISIGMALOWERBOUND</we:customFunctionIds>
        <we:customFunctionIds>PSISIGMAPROBDEFECTSHIFT</we:customFunctionIds>
        <we:customFunctionIds>PSISIGMAPROBDEFECTSHIFTLOWER</we:customFunctionIds>
        <we:customFunctionIds>PSISIGMAPROBDEFECTSHIFTUPPER</we:customFunctionIds>
        <we:customFunctionIds>PSISIGMASIGMALEVEL</we:customFunctionIds>
        <we:customFunctionIds>PSISIGMAUPPERBOUND</we:customFunctionIds>
        <we:customFunctionIds>PSISIGMAYIELD</we:customFunctionIds>
        <we:customFunctionIds>PSISIGMAZLOWER</we:customFunctionIds>
        <we:customFunctionIds>PSISIGMAZMIN</we:customFunctionIds>
        <we:customFunctionIds>PSISIGMAZUPPER</we:customFunctionIds>
        <we:customFunctionIds>PSIBETAGENALT</we:customFunctionIds>
        <we:customFunctionIds>PSICAUCHYALT</we:customFunctionIds>
        <we:customFunctionIds>PSICHISQUAREALT</we:customFunctionIds>
        <we:customFunctionIds>PSIERFALT</we:customFunctionIds>
        <we:customFunctionIds>PSIEXPONENTIALALT</we:customFunctionIds>
        <we:customFunctionIds>PSIGAMMAALT</we:customFunctionIds>
        <we:customFunctionIds>PSIINVNORMALALT</we:customFunctionIds>
        <we:customFunctionIds>PSILAPLACEALT</we:customFunctionIds>
        <we:customFunctionIds>PSILOGISTICALT</we:customFunctionIds>
        <we:customFunctionIds>PSILOGLOGISTICALT</we:customFunctionIds>
        <we:customFunctionIds>PSILOGNORMALALT</we:customFunctionIds>
        <we:customFunctionIds>PSIMAXEXTREMEALT</we:customFunctionIds>
        <we:customFunctionIds>PSIMINEXTREMEALT</we:customFunctionIds>
        <we:customFunctionIds>PSINORMALALT</we:customFunctionIds>
        <we:customFunctionIds>PSIUNIFORMALT</we:customFunctionIds>
        <we:customFunctionIds>PSITRIANGULARALT</we:customFunctionIds>
        <we:customFunctionIds>PSIPARETOALT</we:customFunctionIds>
        <we:customFunctionIds>PSIPARETO2ALT</we:customFunctionIds>
        <we:customFunctionIds>PSIPEARSON5ALT</we:customFunctionIds>
        <we:customFunctionIds>PSIPEARSON6ALT</we:customFunctionIds>
        <we:customFunctionIds>PSIPERTALT</we:customFunctionIds>
        <we:customFunctionIds>PSIRAYLEIGHALT</we:customFunctionIds>
        <we:customFunctionIds>PSISTUDENTALT</we:customFunctionIds>
        <we:customFunctionIds>PSIWEIBULLALT</we:customFunctionIds>
        <we:customFunctionIds>PSIFATIGUELIFEALT</we:customFunctionIds>
        <we:customFunctionIds>PSIFRECHETALT</we:customFunctionIds>
        <we:customFunctionIds>PSIOPTVALUE</we:customFunctionIds>
        <we:customFunctionIds>PSICOEFFVAR</we:customFunctionIds>
        <we:customFunctionIds>PSISTDERR</we:customFunctionIds>
        <we:customFunctionIds>PSIEXPGAIN</we:customFunctionIds>
        <we:customFunctionIds>PSIEXPGAINRATIO</we:customFunctionIds>
        <we:customFunctionIds>PSIEXPLOSS</we:customFunctionIds>
        <we:customFunctionIds>PSIEXPLOSSRATIO</we:customFunctionIds>
        <we:customFunctionIds>PSIEXPVALMARGIN</we:customFunctionIds>
        <we:customFunctionIds>PSICERTIFIED</we:customFunctionIds>
        <we:customFunctionIds>PSICENSOR</we:customFunctionIds>
        <we:customFunctionIds>PSIBASECASE</we:customFunctionIds>
        <we:customFunctionIds>PSIFORECASTETS</we:customFunctionIds>
        <we:customFunctionIds>PSIFORECASTLINEAR</we:customFunctionIds>
        <we:customFunctionIds>DOTPRODUCT</we:customFunctionIds>
        <we:customFunctionIds>QUADPRODUCT</we:customFunctionIds>
        <we:customFunctionIds>PSIDECTABLE</we:customFunctionIds>
        <we:customFunctionIds>PSIBOXFUNCTION</we:customFunctionIds>
        <we:customFunctionIds>PSIBOXITERATOR</we:customFunctionIds>
        <we:customFunctionIds>PSIINITIALVALUE</we:customFunctionIds>
        <we:customFunctionIds>PSIFINALVALUE</we:customFunctionIds>
        <we:customFunctionIds>PSIDUALVALUE</we:customFunctionIds>
        <we:customFunctionIds>PSISLACKVALUE</we:customFunctionIds>
        <we:customFunctionIds>PSIDUALUPPER</we:customFunctionIds>
        <we:customFunctionIds>PSIDUALLOWER</we:customFunctionIds>
        <we:customFunctionIds>PSITSINTEGRATE</we:customFunctionIds>
        <we:customFunctionIds>PSITRANSFORM</we:customFunctionIds>
        <we:customFunctionIds>PSITSSEASONALITY</we:customFunctionIds>
        <we:customFunctionIds>PSITSLEN</we:customFunctionIds>
        <we:customFunctionIds>PSIAR1</we:customFunctionIds>
        <we:customFunctionIds>PSIAR2</we:customFunctionIds>
        <we:customFunctionIds>PSIMA1</we:customFunctionIds>
        <we:customFunctionIds>PSIMA2</we:customFunctionIds>
        <we:customFunctionIds>PSIARMA11</we:customFunctionIds>
        <we:customFunctionIds>PSIARCH1</we:customFunctionIds>
        <we:customFunctionIds>PSIGARCH11</we:customFunctionIds>
        <we:customFunctionIds>PSIEGARCH11</we:customFunctionIds>
        <we:customFunctionIds>PSIAPARCH11</we:customFunctionIds>
        <we:customFunctionIds>PSITARGETCI</we:customFunctionIds>
        <we:customFunctionIds>PSIPERCENTILECI</we:customFunctionIds>
        <we:customFunctionIds>PSIPERCENTILES</we:customFunctionIds>
        <we:customFunctionIds>PSIMODELDESC</we:customFunctionIds>
        <we:customFunctionIds>PSICORRECTCORMAT</we:customFunctionIds>
        <we:customFunctionIds>PSISTATIC</we:customFunctionIds>
        <we:customFunctionIds>PSIMAKEINPUT</we:customFunctionIds>
        <we:customFunctionIds>PSISIMULATIONINFO</we:customFunctionIds>
        <we:customFunctionIds>PSICONVERGED</we:customFunctionIds>
        <we:customFunctionIds>PSIDISTINFO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javascript:void(0)" TargetMode="External"/><Relationship Id="rId2" Type="http://schemas.openxmlformats.org/officeDocument/2006/relationships/hyperlink" Target="javascript:void(0)" TargetMode="External"/><Relationship Id="rId1" Type="http://schemas.openxmlformats.org/officeDocument/2006/relationships/hyperlink" Target="javascript:void(0)" TargetMode="External"/><Relationship Id="rId4" Type="http://schemas.openxmlformats.org/officeDocument/2006/relationships/hyperlink" Target="javascript:void(0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1D845-C0A1-6144-B026-372543A373DB}">
  <dimension ref="A1:BC86"/>
  <sheetViews>
    <sheetView tabSelected="1" topLeftCell="H1" zoomScale="115" workbookViewId="0">
      <pane ySplit="1" topLeftCell="A2" activePane="bottomLeft" state="frozen"/>
      <selection pane="bottomLeft" activeCell="K3" sqref="K3"/>
    </sheetView>
  </sheetViews>
  <sheetFormatPr baseColWidth="10" defaultRowHeight="16" x14ac:dyDescent="0.2"/>
  <cols>
    <col min="1" max="1" width="9.6640625" style="8" bestFit="1" customWidth="1"/>
    <col min="2" max="2" width="10.5" style="20" bestFit="1" customWidth="1"/>
    <col min="3" max="3" width="19" style="20" bestFit="1" customWidth="1"/>
    <col min="4" max="4" width="7.33203125" style="20" bestFit="1" customWidth="1"/>
    <col min="5" max="5" width="11" style="20" bestFit="1" customWidth="1"/>
    <col min="6" max="6" width="13.5" style="19" bestFit="1" customWidth="1"/>
    <col min="7" max="7" width="35" style="19" bestFit="1" customWidth="1"/>
    <col min="8" max="8" width="29.5" style="19" bestFit="1" customWidth="1"/>
    <col min="9" max="9" width="22" style="19" bestFit="1" customWidth="1"/>
    <col min="10" max="10" width="10.6640625" style="19" bestFit="1" customWidth="1"/>
    <col min="11" max="11" width="15.6640625" style="19" bestFit="1" customWidth="1"/>
    <col min="12" max="12" width="9.1640625" style="19" bestFit="1" customWidth="1"/>
    <col min="13" max="13" width="25" style="19" bestFit="1" customWidth="1"/>
    <col min="14" max="14" width="21.1640625" style="19" bestFit="1" customWidth="1"/>
    <col min="15" max="15" width="14.83203125" style="19" bestFit="1" customWidth="1"/>
    <col min="16" max="16" width="23.6640625" style="19" bestFit="1" customWidth="1"/>
    <col min="17" max="17" width="14.1640625" style="19" bestFit="1" customWidth="1"/>
    <col min="18" max="18" width="38.1640625" style="19" bestFit="1" customWidth="1"/>
    <col min="19" max="19" width="20.83203125" style="22" bestFit="1" customWidth="1"/>
    <col min="20" max="20" width="20.6640625" style="22" bestFit="1" customWidth="1"/>
    <col min="21" max="21" width="32.33203125" style="22" bestFit="1" customWidth="1"/>
    <col min="22" max="22" width="10.33203125" style="22" bestFit="1" customWidth="1"/>
    <col min="23" max="23" width="31.5" style="22" bestFit="1" customWidth="1"/>
    <col min="24" max="24" width="17.83203125" style="22" bestFit="1" customWidth="1"/>
    <col min="25" max="25" width="28.6640625" style="22" bestFit="1" customWidth="1"/>
    <col min="26" max="26" width="27.5" style="22" bestFit="1" customWidth="1"/>
    <col min="27" max="27" width="31" style="22" bestFit="1" customWidth="1"/>
    <col min="28" max="28" width="28.5" style="22" bestFit="1" customWidth="1"/>
    <col min="29" max="29" width="18" style="22" bestFit="1" customWidth="1"/>
    <col min="30" max="30" width="35" style="23" bestFit="1" customWidth="1"/>
    <col min="31" max="31" width="25.6640625" style="23" bestFit="1" customWidth="1"/>
    <col min="32" max="32" width="27.6640625" style="23" bestFit="1" customWidth="1"/>
    <col min="33" max="33" width="45.6640625" style="23" bestFit="1" customWidth="1"/>
    <col min="34" max="34" width="34" style="23" bestFit="1" customWidth="1"/>
    <col min="35" max="35" width="24.83203125" style="23" bestFit="1" customWidth="1"/>
    <col min="36" max="36" width="44.83203125" style="23" bestFit="1" customWidth="1"/>
    <col min="37" max="37" width="18.5" style="23" bestFit="1" customWidth="1"/>
    <col min="38" max="38" width="21.83203125" style="23" bestFit="1" customWidth="1"/>
    <col min="39" max="40" width="21" style="23" bestFit="1" customWidth="1"/>
    <col min="41" max="41" width="18.33203125" style="23" bestFit="1" customWidth="1"/>
    <col min="42" max="42" width="25.6640625" style="24" bestFit="1" customWidth="1"/>
    <col min="43" max="43" width="27" style="24" bestFit="1" customWidth="1"/>
    <col min="44" max="44" width="24.83203125" style="24" bestFit="1" customWidth="1"/>
    <col min="45" max="45" width="27" style="24" bestFit="1" customWidth="1"/>
    <col min="46" max="46" width="9.6640625" style="24" bestFit="1" customWidth="1"/>
    <col min="47" max="47" width="19.5" style="24" bestFit="1" customWidth="1"/>
    <col min="48" max="48" width="15.83203125" style="26" bestFit="1" customWidth="1"/>
    <col min="49" max="49" width="14.6640625" style="26" bestFit="1" customWidth="1"/>
    <col min="50" max="50" width="24.33203125" style="26" bestFit="1" customWidth="1"/>
    <col min="51" max="51" width="25.1640625" style="26" bestFit="1" customWidth="1"/>
    <col min="52" max="53" width="24" style="26" bestFit="1" customWidth="1"/>
    <col min="54" max="54" width="14.83203125" style="26" bestFit="1" customWidth="1"/>
    <col min="55" max="55" width="14.1640625" style="9" bestFit="1" customWidth="1"/>
    <col min="56" max="16384" width="10.83203125" style="7"/>
  </cols>
  <sheetData>
    <row r="1" spans="1:55" ht="19" x14ac:dyDescent="0.25">
      <c r="A1" s="1" t="s">
        <v>0</v>
      </c>
      <c r="B1" s="1" t="s">
        <v>12</v>
      </c>
      <c r="C1" s="1" t="s">
        <v>63</v>
      </c>
      <c r="D1" s="1" t="s">
        <v>1</v>
      </c>
      <c r="E1" s="1" t="s">
        <v>13</v>
      </c>
      <c r="F1" s="2" t="s">
        <v>2</v>
      </c>
      <c r="G1" s="2" t="s">
        <v>14</v>
      </c>
      <c r="H1" s="2" t="s">
        <v>15</v>
      </c>
      <c r="I1" s="2" t="s">
        <v>16</v>
      </c>
      <c r="J1" s="2" t="s">
        <v>4</v>
      </c>
      <c r="K1" s="2" t="s">
        <v>17</v>
      </c>
      <c r="L1" s="2" t="s">
        <v>18</v>
      </c>
      <c r="M1" s="2" t="s">
        <v>19</v>
      </c>
      <c r="N1" s="2" t="s">
        <v>20</v>
      </c>
      <c r="O1" s="2" t="s">
        <v>21</v>
      </c>
      <c r="P1" s="2" t="s">
        <v>22</v>
      </c>
      <c r="Q1" s="2" t="s">
        <v>3</v>
      </c>
      <c r="R1" s="2" t="s">
        <v>23</v>
      </c>
      <c r="S1" s="3" t="s">
        <v>24</v>
      </c>
      <c r="T1" s="3" t="s">
        <v>25</v>
      </c>
      <c r="U1" s="3" t="s">
        <v>26</v>
      </c>
      <c r="V1" s="3" t="s">
        <v>27</v>
      </c>
      <c r="W1" s="3" t="s">
        <v>28</v>
      </c>
      <c r="X1" s="3" t="s">
        <v>29</v>
      </c>
      <c r="Y1" s="3" t="s">
        <v>30</v>
      </c>
      <c r="Z1" s="3" t="s">
        <v>31</v>
      </c>
      <c r="AA1" s="3" t="s">
        <v>32</v>
      </c>
      <c r="AB1" s="3" t="s">
        <v>33</v>
      </c>
      <c r="AC1" s="3" t="s">
        <v>34</v>
      </c>
      <c r="AD1" s="4" t="s">
        <v>35</v>
      </c>
      <c r="AE1" s="4" t="s">
        <v>36</v>
      </c>
      <c r="AF1" s="4" t="s">
        <v>37</v>
      </c>
      <c r="AG1" s="4" t="s">
        <v>38</v>
      </c>
      <c r="AH1" s="4" t="s">
        <v>39</v>
      </c>
      <c r="AI1" s="4" t="s">
        <v>40</v>
      </c>
      <c r="AJ1" s="4" t="s">
        <v>41</v>
      </c>
      <c r="AK1" s="4" t="s">
        <v>5</v>
      </c>
      <c r="AL1" s="4" t="s">
        <v>42</v>
      </c>
      <c r="AM1" s="4" t="s">
        <v>43</v>
      </c>
      <c r="AN1" s="4" t="s">
        <v>44</v>
      </c>
      <c r="AO1" s="4" t="s">
        <v>45</v>
      </c>
      <c r="AP1" s="5" t="s">
        <v>7</v>
      </c>
      <c r="AQ1" s="5" t="s">
        <v>46</v>
      </c>
      <c r="AR1" s="5" t="s">
        <v>47</v>
      </c>
      <c r="AS1" s="5" t="s">
        <v>48</v>
      </c>
      <c r="AT1" s="5" t="s">
        <v>49</v>
      </c>
      <c r="AU1" s="5" t="s">
        <v>50</v>
      </c>
      <c r="AV1" s="6" t="s">
        <v>8</v>
      </c>
      <c r="AW1" s="6" t="s">
        <v>9</v>
      </c>
      <c r="AX1" s="6" t="s">
        <v>10</v>
      </c>
      <c r="AY1" s="6" t="s">
        <v>51</v>
      </c>
      <c r="AZ1" s="6" t="s">
        <v>52</v>
      </c>
      <c r="BA1" s="6" t="s">
        <v>53</v>
      </c>
      <c r="BB1" s="6" t="s">
        <v>54</v>
      </c>
      <c r="BC1" s="25" t="s">
        <v>6</v>
      </c>
    </row>
    <row r="2" spans="1:55" x14ac:dyDescent="0.2">
      <c r="A2" s="17" t="s">
        <v>11</v>
      </c>
      <c r="B2" s="20" t="s">
        <v>55</v>
      </c>
      <c r="C2" s="21">
        <v>45987</v>
      </c>
      <c r="D2" s="20">
        <v>2025</v>
      </c>
      <c r="E2" s="20" t="s">
        <v>57</v>
      </c>
      <c r="F2" s="19">
        <v>82812000</v>
      </c>
      <c r="G2" s="19">
        <v>26789000</v>
      </c>
      <c r="H2" s="19">
        <v>56023000</v>
      </c>
      <c r="I2" s="19">
        <v>25753000</v>
      </c>
      <c r="J2" s="19">
        <f>L2+K2</f>
        <v>36683000</v>
      </c>
      <c r="K2" s="19">
        <v>6413000</v>
      </c>
      <c r="L2" s="19">
        <v>30270000</v>
      </c>
      <c r="M2" s="19">
        <v>958000</v>
      </c>
      <c r="N2" s="19">
        <v>150000</v>
      </c>
      <c r="O2" s="19">
        <v>56023000</v>
      </c>
      <c r="P2" s="19">
        <v>2450000</v>
      </c>
      <c r="Q2" s="19">
        <v>28628000</v>
      </c>
      <c r="R2" s="19">
        <v>28628000</v>
      </c>
      <c r="S2" s="22">
        <v>88120000</v>
      </c>
      <c r="T2" s="22">
        <v>16724000</v>
      </c>
      <c r="V2" s="22">
        <v>0</v>
      </c>
      <c r="X2" s="22">
        <v>90668000</v>
      </c>
      <c r="Y2" s="22">
        <v>5904000</v>
      </c>
      <c r="Z2" s="22">
        <v>79582000</v>
      </c>
      <c r="AC2" s="22">
        <v>178788000</v>
      </c>
      <c r="AV2" s="26">
        <v>25750000</v>
      </c>
      <c r="AW2" s="26">
        <v>46.6</v>
      </c>
      <c r="AX2" s="27">
        <f>AY2/AV2</f>
        <v>4.4000000000000004</v>
      </c>
      <c r="AY2" s="26">
        <v>113300000</v>
      </c>
      <c r="BA2" s="26">
        <v>272</v>
      </c>
      <c r="BB2" s="26">
        <v>0</v>
      </c>
      <c r="BC2" s="16">
        <f>BB2-T2</f>
        <v>-16724000</v>
      </c>
    </row>
    <row r="3" spans="1:55" x14ac:dyDescent="0.2">
      <c r="A3" s="17" t="s">
        <v>11</v>
      </c>
      <c r="B3" s="20" t="s">
        <v>55</v>
      </c>
      <c r="C3" s="21">
        <v>45897</v>
      </c>
      <c r="D3" s="20">
        <v>2025</v>
      </c>
      <c r="E3" s="20" t="s">
        <v>56</v>
      </c>
      <c r="F3" s="19">
        <v>84798000</v>
      </c>
      <c r="G3" s="19">
        <v>26354000</v>
      </c>
      <c r="H3" s="19">
        <v>58444000</v>
      </c>
      <c r="I3" s="19">
        <v>23201000</v>
      </c>
      <c r="J3" s="19">
        <f t="shared" ref="J3:J43" si="0">L3+K3</f>
        <v>41628000</v>
      </c>
      <c r="K3" s="19">
        <v>6385000</v>
      </c>
      <c r="L3" s="19">
        <v>35243000</v>
      </c>
      <c r="M3" s="19">
        <v>74000</v>
      </c>
      <c r="N3" s="19">
        <v>913000</v>
      </c>
      <c r="O3" s="19">
        <v>58444000</v>
      </c>
      <c r="P3" s="19">
        <v>3380000</v>
      </c>
      <c r="Q3" s="19">
        <v>31024000</v>
      </c>
      <c r="R3" s="19">
        <v>31024000</v>
      </c>
      <c r="S3" s="22">
        <v>166256000</v>
      </c>
      <c r="T3" s="22">
        <v>103237000</v>
      </c>
      <c r="U3" s="22">
        <v>61531000</v>
      </c>
      <c r="V3" s="22">
        <v>0</v>
      </c>
      <c r="W3" s="22">
        <v>1488000</v>
      </c>
      <c r="X3" s="22">
        <v>90110000</v>
      </c>
      <c r="Y3" s="22">
        <v>6132000</v>
      </c>
      <c r="Z3" s="22">
        <v>78561000</v>
      </c>
      <c r="AA3" s="22">
        <v>0</v>
      </c>
      <c r="AB3" s="22">
        <v>5257000</v>
      </c>
      <c r="AC3" s="22">
        <v>256366000</v>
      </c>
      <c r="AD3" s="23">
        <v>83855000</v>
      </c>
      <c r="AH3" s="23">
        <v>5312790</v>
      </c>
      <c r="AJ3" s="23">
        <v>0</v>
      </c>
      <c r="AK3" s="23">
        <v>167198000</v>
      </c>
      <c r="AN3" s="23">
        <v>98303000</v>
      </c>
      <c r="AO3" s="23">
        <v>256366000</v>
      </c>
      <c r="AP3" s="24">
        <v>33976000</v>
      </c>
      <c r="AQ3" s="24">
        <v>-8135000</v>
      </c>
      <c r="AR3" s="24">
        <v>-308000</v>
      </c>
      <c r="AT3" s="24">
        <v>8209000</v>
      </c>
      <c r="AV3" s="26">
        <v>25750000</v>
      </c>
      <c r="AW3" s="26">
        <v>59.15</v>
      </c>
      <c r="AX3" s="27">
        <f>AY3/AV3</f>
        <v>0</v>
      </c>
      <c r="AY3" s="26">
        <v>0</v>
      </c>
      <c r="BA3" s="26">
        <v>280</v>
      </c>
      <c r="BB3" s="26">
        <f>AE3+AI3</f>
        <v>0</v>
      </c>
      <c r="BC3" s="16">
        <f>BB3-T3</f>
        <v>-103237000</v>
      </c>
    </row>
    <row r="4" spans="1:55" x14ac:dyDescent="0.2">
      <c r="A4" s="17" t="s">
        <v>11</v>
      </c>
      <c r="B4" s="20" t="s">
        <v>55</v>
      </c>
      <c r="C4" s="21">
        <v>45835</v>
      </c>
      <c r="D4" s="20">
        <v>2024</v>
      </c>
      <c r="E4" s="20" t="s">
        <v>59</v>
      </c>
      <c r="F4" s="19">
        <v>89009000</v>
      </c>
      <c r="G4" s="19">
        <v>19611000</v>
      </c>
      <c r="H4" s="19">
        <v>69398000</v>
      </c>
      <c r="I4" s="19">
        <v>28602000</v>
      </c>
      <c r="J4" s="19">
        <f t="shared" si="0"/>
        <v>47288000</v>
      </c>
      <c r="K4" s="19">
        <v>6492000</v>
      </c>
      <c r="L4" s="19">
        <v>40796000</v>
      </c>
      <c r="M4" s="19">
        <v>-424000</v>
      </c>
      <c r="N4" s="19">
        <v>-53000</v>
      </c>
      <c r="O4" s="19">
        <v>69398000</v>
      </c>
      <c r="Q4" s="19">
        <v>36824000</v>
      </c>
      <c r="R4" s="19">
        <v>36824000</v>
      </c>
      <c r="S4" s="22">
        <v>137590000</v>
      </c>
      <c r="T4" s="22">
        <v>77704000</v>
      </c>
      <c r="U4" s="22">
        <v>57990000</v>
      </c>
      <c r="V4" s="22">
        <v>0</v>
      </c>
      <c r="W4" s="22">
        <v>1896000</v>
      </c>
      <c r="X4" s="22">
        <v>89115000</v>
      </c>
      <c r="Y4" s="22">
        <v>6306000</v>
      </c>
      <c r="Z4" s="22">
        <v>76563000</v>
      </c>
      <c r="AA4" s="22">
        <v>0</v>
      </c>
      <c r="AB4" s="22">
        <v>6086000</v>
      </c>
      <c r="AC4" s="22">
        <v>226705000</v>
      </c>
      <c r="AD4" s="23">
        <v>83894000</v>
      </c>
      <c r="AH4" s="23">
        <v>6393000</v>
      </c>
      <c r="AJ4" s="23">
        <v>0</v>
      </c>
      <c r="AK4" s="23">
        <v>136418000</v>
      </c>
      <c r="AN4" s="23">
        <v>68206000</v>
      </c>
      <c r="AO4" s="23">
        <v>226705000</v>
      </c>
      <c r="AP4" s="24">
        <v>40299000</v>
      </c>
      <c r="AQ4" s="24">
        <v>-7475000</v>
      </c>
      <c r="AR4" s="24">
        <v>-43108000</v>
      </c>
      <c r="AT4" s="24">
        <v>7475000</v>
      </c>
      <c r="AV4" s="26">
        <v>25750000</v>
      </c>
      <c r="AW4" s="26">
        <v>52.9</v>
      </c>
      <c r="AX4" s="27">
        <f>AY4/AV4</f>
        <v>1.66</v>
      </c>
      <c r="AY4" s="26">
        <v>42745000</v>
      </c>
      <c r="BA4" s="26">
        <v>254</v>
      </c>
      <c r="BB4" s="26">
        <f>AE4+AI4</f>
        <v>0</v>
      </c>
      <c r="BC4" s="16">
        <f>BB4-T4</f>
        <v>-77704000</v>
      </c>
    </row>
    <row r="5" spans="1:55" x14ac:dyDescent="0.2">
      <c r="A5" s="17" t="s">
        <v>11</v>
      </c>
      <c r="B5" s="20" t="s">
        <v>55</v>
      </c>
      <c r="C5" s="21">
        <v>45715</v>
      </c>
      <c r="D5" s="20">
        <v>2024</v>
      </c>
      <c r="E5" s="20" t="s">
        <v>58</v>
      </c>
      <c r="F5" s="19">
        <v>88917000</v>
      </c>
      <c r="G5" s="19">
        <v>17870000</v>
      </c>
      <c r="H5" s="19">
        <v>71047000</v>
      </c>
      <c r="I5" s="19">
        <v>27465000</v>
      </c>
      <c r="J5" s="19">
        <f t="shared" si="0"/>
        <v>49770000</v>
      </c>
      <c r="K5" s="19">
        <v>6188000</v>
      </c>
      <c r="L5" s="19">
        <v>43582000</v>
      </c>
      <c r="M5" s="19">
        <v>824000</v>
      </c>
      <c r="N5" s="19">
        <v>-78000</v>
      </c>
      <c r="O5" s="19">
        <v>71047000</v>
      </c>
      <c r="Q5" s="19">
        <v>41267000</v>
      </c>
      <c r="R5" s="19">
        <v>41267000</v>
      </c>
      <c r="S5" s="22">
        <v>145306000</v>
      </c>
      <c r="T5" s="22">
        <v>87988000</v>
      </c>
      <c r="U5" s="22">
        <v>56220000</v>
      </c>
      <c r="V5" s="22">
        <v>0</v>
      </c>
      <c r="W5" s="22">
        <v>1098000</v>
      </c>
      <c r="X5" s="22">
        <v>82207000</v>
      </c>
      <c r="Y5" s="22">
        <v>1614000</v>
      </c>
      <c r="Z5" s="22">
        <v>74828000</v>
      </c>
      <c r="AA5" s="22">
        <v>0</v>
      </c>
      <c r="AB5" s="22">
        <v>5605000</v>
      </c>
      <c r="AC5" s="22">
        <v>227513000</v>
      </c>
      <c r="AD5" s="23">
        <v>81976000</v>
      </c>
      <c r="AH5" s="23">
        <v>3041000</v>
      </c>
      <c r="AJ5" s="23">
        <v>0</v>
      </c>
      <c r="AK5" s="23">
        <v>142496000</v>
      </c>
      <c r="AN5" s="23">
        <v>74132000</v>
      </c>
      <c r="AO5" s="23">
        <v>227513000</v>
      </c>
      <c r="AP5" s="24">
        <v>43338000</v>
      </c>
      <c r="AQ5" s="24">
        <v>-7855000</v>
      </c>
      <c r="AR5" s="24">
        <v>-244000</v>
      </c>
      <c r="AT5" s="24">
        <v>7855000</v>
      </c>
      <c r="AV5" s="26">
        <v>25750000</v>
      </c>
      <c r="AW5" s="26">
        <v>65.8</v>
      </c>
      <c r="AX5" s="27">
        <f>AY5/AV5</f>
        <v>0</v>
      </c>
      <c r="AY5" s="26">
        <v>0</v>
      </c>
      <c r="BA5" s="26">
        <v>254</v>
      </c>
      <c r="BB5" s="26">
        <f>AE5+AI5</f>
        <v>0</v>
      </c>
      <c r="BC5" s="16">
        <f>BB5-T5</f>
        <v>-87988000</v>
      </c>
    </row>
    <row r="6" spans="1:55" x14ac:dyDescent="0.2">
      <c r="A6" s="17" t="s">
        <v>11</v>
      </c>
      <c r="B6" s="20" t="s">
        <v>55</v>
      </c>
      <c r="C6" s="21">
        <v>45623</v>
      </c>
      <c r="D6" s="20">
        <v>2024</v>
      </c>
      <c r="E6" s="20" t="s">
        <v>57</v>
      </c>
      <c r="F6" s="19">
        <v>89412000</v>
      </c>
      <c r="G6" s="19">
        <v>18488000</v>
      </c>
      <c r="H6" s="19">
        <v>70924000</v>
      </c>
      <c r="I6" s="19">
        <v>24868000</v>
      </c>
      <c r="J6" s="19">
        <f t="shared" si="0"/>
        <v>51933000</v>
      </c>
      <c r="K6" s="19">
        <v>5877000</v>
      </c>
      <c r="L6" s="19">
        <v>46056000</v>
      </c>
      <c r="M6" s="19">
        <v>2000</v>
      </c>
      <c r="N6" s="19">
        <v>68000</v>
      </c>
      <c r="O6" s="19">
        <v>70924000</v>
      </c>
      <c r="Q6" s="19">
        <v>42601000</v>
      </c>
      <c r="R6" s="19">
        <v>42601000</v>
      </c>
      <c r="S6" s="22">
        <v>105933000</v>
      </c>
      <c r="T6" s="22">
        <v>52749000</v>
      </c>
      <c r="U6" s="22">
        <v>52456000</v>
      </c>
      <c r="V6" s="22">
        <v>0</v>
      </c>
      <c r="W6" s="22">
        <v>728000</v>
      </c>
      <c r="X6" s="22">
        <v>81422000</v>
      </c>
      <c r="Y6" s="22">
        <v>1789000</v>
      </c>
      <c r="Z6" s="22">
        <v>73368000</v>
      </c>
      <c r="AA6" s="22">
        <v>0</v>
      </c>
      <c r="AB6" s="22">
        <v>6105000</v>
      </c>
      <c r="AC6" s="22">
        <v>187355000</v>
      </c>
      <c r="AD6" s="23">
        <v>82433000</v>
      </c>
      <c r="AH6" s="23">
        <v>3864000</v>
      </c>
      <c r="AJ6" s="23">
        <v>0</v>
      </c>
      <c r="AK6" s="23">
        <v>101058000</v>
      </c>
      <c r="AN6" s="23">
        <v>32732000</v>
      </c>
      <c r="AO6" s="23">
        <v>187355000</v>
      </c>
      <c r="AP6" s="24">
        <v>44104000</v>
      </c>
      <c r="AQ6" s="24">
        <v>-7666000</v>
      </c>
      <c r="AR6" s="24">
        <v>-111758000</v>
      </c>
      <c r="AT6" s="24">
        <v>7666000</v>
      </c>
      <c r="AV6" s="26">
        <v>25750000</v>
      </c>
      <c r="AW6" s="26">
        <v>73.5</v>
      </c>
      <c r="AX6" s="27">
        <f>AY6/AV6</f>
        <v>4.3500194174757283</v>
      </c>
      <c r="AY6" s="26">
        <v>112013000</v>
      </c>
      <c r="BA6" s="26">
        <v>254</v>
      </c>
      <c r="BB6" s="26">
        <f>AE6+AI6</f>
        <v>0</v>
      </c>
      <c r="BC6" s="16">
        <f>BB6-T6</f>
        <v>-52749000</v>
      </c>
    </row>
    <row r="7" spans="1:55" ht="17" x14ac:dyDescent="0.2">
      <c r="A7" s="18" t="s">
        <v>11</v>
      </c>
      <c r="B7" s="20" t="s">
        <v>55</v>
      </c>
      <c r="C7" s="21">
        <v>45533</v>
      </c>
      <c r="D7" s="20">
        <v>2024</v>
      </c>
      <c r="E7" s="20" t="s">
        <v>56</v>
      </c>
      <c r="F7" s="19">
        <v>86840000</v>
      </c>
      <c r="G7" s="19">
        <v>15901000</v>
      </c>
      <c r="H7" s="19">
        <v>70939000</v>
      </c>
      <c r="I7" s="19">
        <v>24006000</v>
      </c>
      <c r="J7" s="19">
        <f t="shared" si="0"/>
        <v>52617000</v>
      </c>
      <c r="K7" s="19">
        <v>5684000</v>
      </c>
      <c r="L7" s="19">
        <v>46933000</v>
      </c>
      <c r="M7" s="19">
        <v>4000</v>
      </c>
      <c r="N7" s="19">
        <v>98000</v>
      </c>
      <c r="O7" s="19">
        <v>70939000</v>
      </c>
      <c r="P7" s="19">
        <v>3113000</v>
      </c>
      <c r="Q7" s="19">
        <v>43726000</v>
      </c>
      <c r="R7" s="19">
        <v>43726000</v>
      </c>
      <c r="S7" s="22">
        <v>179815000</v>
      </c>
      <c r="T7" s="22">
        <v>128069000</v>
      </c>
      <c r="U7" s="22">
        <v>51176000</v>
      </c>
      <c r="V7" s="22">
        <v>0</v>
      </c>
      <c r="W7" s="22">
        <v>570000</v>
      </c>
      <c r="X7" s="22">
        <v>78899000</v>
      </c>
      <c r="Y7" s="22">
        <v>2008000</v>
      </c>
      <c r="Z7" s="22">
        <v>71141000</v>
      </c>
      <c r="AA7" s="22">
        <v>0</v>
      </c>
      <c r="AB7" s="22">
        <v>5590000</v>
      </c>
      <c r="AC7" s="22">
        <v>258714000</v>
      </c>
      <c r="AD7" s="23">
        <v>82298000</v>
      </c>
      <c r="AH7" s="23">
        <v>4367000</v>
      </c>
      <c r="AJ7" s="23">
        <v>0</v>
      </c>
      <c r="AK7" s="23">
        <v>172049000</v>
      </c>
      <c r="AN7" s="23">
        <v>115573000</v>
      </c>
      <c r="AO7" s="23">
        <v>258714000</v>
      </c>
      <c r="AP7" s="24">
        <v>51748000</v>
      </c>
      <c r="AQ7" s="24">
        <v>-7791000</v>
      </c>
      <c r="AR7" s="24">
        <v>-748000</v>
      </c>
      <c r="AT7" s="24">
        <v>7791000</v>
      </c>
      <c r="AV7" s="26">
        <v>25750000</v>
      </c>
      <c r="AW7" s="26">
        <v>76.599999999999994</v>
      </c>
      <c r="AX7" s="27">
        <f>AY7/AV7</f>
        <v>0</v>
      </c>
      <c r="AY7" s="26">
        <v>0</v>
      </c>
      <c r="BA7" s="26">
        <v>255</v>
      </c>
      <c r="BB7" s="26">
        <f>AE7+AI7</f>
        <v>0</v>
      </c>
      <c r="BC7" s="16">
        <f>BB7-T7</f>
        <v>-128069000</v>
      </c>
    </row>
    <row r="8" spans="1:55" ht="17" x14ac:dyDescent="0.2">
      <c r="A8" s="18" t="s">
        <v>11</v>
      </c>
      <c r="B8" s="20" t="s">
        <v>55</v>
      </c>
      <c r="C8" s="21">
        <v>45470</v>
      </c>
      <c r="D8" s="20">
        <v>2023</v>
      </c>
      <c r="E8" s="20" t="s">
        <v>59</v>
      </c>
      <c r="F8" s="19">
        <v>83309000</v>
      </c>
      <c r="G8" s="19">
        <v>16344000</v>
      </c>
      <c r="H8" s="19">
        <v>66965000</v>
      </c>
      <c r="I8" s="19">
        <v>26057000</v>
      </c>
      <c r="J8" s="19">
        <f t="shared" si="0"/>
        <v>46013000</v>
      </c>
      <c r="K8" s="19">
        <v>5105000</v>
      </c>
      <c r="L8" s="19">
        <v>40908000</v>
      </c>
      <c r="M8" s="19">
        <v>-4000</v>
      </c>
      <c r="N8" s="19">
        <v>17000</v>
      </c>
      <c r="O8" s="19">
        <v>66965000</v>
      </c>
      <c r="Q8" s="19">
        <v>38049000</v>
      </c>
      <c r="R8" s="19">
        <v>38049000</v>
      </c>
      <c r="S8" s="22">
        <v>133890000</v>
      </c>
      <c r="T8" s="22">
        <v>84860000</v>
      </c>
      <c r="U8" s="22">
        <v>48289000</v>
      </c>
      <c r="V8" s="22">
        <v>0</v>
      </c>
      <c r="W8" s="22">
        <v>741000</v>
      </c>
      <c r="X8" s="22">
        <v>76249000</v>
      </c>
      <c r="Y8" s="22">
        <v>2228000</v>
      </c>
      <c r="Z8" s="22">
        <v>69088000</v>
      </c>
      <c r="AA8" s="22">
        <v>0</v>
      </c>
      <c r="AB8" s="22">
        <v>4933000</v>
      </c>
      <c r="AC8" s="22">
        <v>210139000</v>
      </c>
      <c r="AD8" s="23">
        <v>81085000</v>
      </c>
      <c r="AH8" s="23">
        <v>2362000</v>
      </c>
      <c r="AJ8" s="23">
        <v>0</v>
      </c>
      <c r="AK8" s="23">
        <v>126692000</v>
      </c>
      <c r="AN8" s="23">
        <v>71107000</v>
      </c>
      <c r="AO8" s="23">
        <v>210139000</v>
      </c>
      <c r="AP8" s="24">
        <v>42858000</v>
      </c>
      <c r="AQ8" s="24">
        <v>-8288000</v>
      </c>
      <c r="AR8" s="24">
        <v>-41957000</v>
      </c>
      <c r="AT8" s="24">
        <v>8288000</v>
      </c>
      <c r="AV8" s="26">
        <v>25750000</v>
      </c>
      <c r="AW8" s="26">
        <v>90</v>
      </c>
      <c r="AX8" s="27">
        <f>AY8/AV8</f>
        <v>1.6300582524271845</v>
      </c>
      <c r="AY8" s="26">
        <v>41974000</v>
      </c>
      <c r="BB8" s="26">
        <f>AE8+AI8</f>
        <v>0</v>
      </c>
      <c r="BC8" s="16">
        <f>BB8-T8</f>
        <v>-84860000</v>
      </c>
    </row>
    <row r="9" spans="1:55" ht="17" x14ac:dyDescent="0.2">
      <c r="A9" s="18" t="s">
        <v>11</v>
      </c>
      <c r="B9" s="20" t="s">
        <v>55</v>
      </c>
      <c r="C9" s="21">
        <v>45350</v>
      </c>
      <c r="D9" s="20">
        <v>2023</v>
      </c>
      <c r="E9" s="20" t="s">
        <v>58</v>
      </c>
      <c r="F9" s="19">
        <v>89368000</v>
      </c>
      <c r="G9" s="19">
        <v>18488000</v>
      </c>
      <c r="H9" s="19">
        <v>70880000</v>
      </c>
      <c r="I9" s="19">
        <v>23425000</v>
      </c>
      <c r="J9" s="19">
        <f t="shared" si="0"/>
        <v>52467000</v>
      </c>
      <c r="K9" s="19">
        <v>5012000</v>
      </c>
      <c r="L9" s="19">
        <v>47455000</v>
      </c>
      <c r="M9" s="19">
        <v>2000</v>
      </c>
      <c r="N9" s="19">
        <v>84000</v>
      </c>
      <c r="O9" s="19">
        <v>70880000</v>
      </c>
      <c r="Q9" s="19">
        <v>43884000</v>
      </c>
      <c r="R9" s="19">
        <v>43884000</v>
      </c>
      <c r="S9" s="22">
        <v>137286000</v>
      </c>
      <c r="T9" s="22">
        <v>92247000</v>
      </c>
      <c r="U9" s="22">
        <v>44120000</v>
      </c>
      <c r="V9" s="22">
        <v>0</v>
      </c>
      <c r="W9" s="22">
        <v>919000</v>
      </c>
      <c r="X9" s="22">
        <v>72350000</v>
      </c>
      <c r="Y9" s="22">
        <v>1459000</v>
      </c>
      <c r="Z9" s="22">
        <v>65917000</v>
      </c>
      <c r="AA9" s="22">
        <v>0</v>
      </c>
      <c r="AB9" s="22">
        <v>4773000</v>
      </c>
      <c r="AC9" s="22">
        <v>209636000</v>
      </c>
      <c r="AD9" s="23">
        <v>78767000</v>
      </c>
      <c r="AH9" s="23">
        <v>2227000</v>
      </c>
      <c r="AJ9" s="23">
        <v>0</v>
      </c>
      <c r="AK9" s="23">
        <v>128642000</v>
      </c>
      <c r="AN9" s="23">
        <v>75032000</v>
      </c>
      <c r="AO9" s="23">
        <v>209636000</v>
      </c>
      <c r="AP9" s="24">
        <v>43419000</v>
      </c>
      <c r="AQ9" s="24">
        <v>-7433000</v>
      </c>
      <c r="AR9" s="24">
        <v>-227000</v>
      </c>
      <c r="AT9" s="24">
        <v>7433000</v>
      </c>
      <c r="AV9" s="26">
        <v>25750000</v>
      </c>
      <c r="AW9" s="26">
        <v>115.8</v>
      </c>
      <c r="AX9" s="27">
        <f>AY9/AV9</f>
        <v>0</v>
      </c>
      <c r="AY9" s="26">
        <v>0</v>
      </c>
      <c r="BB9" s="26">
        <f>AE9+AI9</f>
        <v>0</v>
      </c>
      <c r="BC9" s="16">
        <f>BB9-T9</f>
        <v>-92247000</v>
      </c>
    </row>
    <row r="10" spans="1:55" ht="17" x14ac:dyDescent="0.2">
      <c r="A10" s="18" t="s">
        <v>11</v>
      </c>
      <c r="B10" s="20" t="s">
        <v>55</v>
      </c>
      <c r="C10" s="21">
        <v>45274</v>
      </c>
      <c r="D10" s="20">
        <v>2023</v>
      </c>
      <c r="E10" s="20" t="s">
        <v>57</v>
      </c>
      <c r="F10" s="19">
        <v>79196000</v>
      </c>
      <c r="G10" s="19">
        <v>13609000</v>
      </c>
      <c r="H10" s="19">
        <v>65587000</v>
      </c>
      <c r="I10" s="19">
        <v>23316000</v>
      </c>
      <c r="J10" s="19">
        <f t="shared" si="0"/>
        <v>47022000</v>
      </c>
      <c r="K10" s="19">
        <v>4751000</v>
      </c>
      <c r="L10" s="19">
        <v>42271000</v>
      </c>
      <c r="M10" s="19">
        <v>119000</v>
      </c>
      <c r="N10" s="19">
        <v>87000</v>
      </c>
      <c r="O10" s="19">
        <v>65587000</v>
      </c>
      <c r="Q10" s="19">
        <v>39453000</v>
      </c>
      <c r="R10" s="19">
        <v>39453000</v>
      </c>
      <c r="S10" s="22">
        <v>98225000</v>
      </c>
      <c r="T10" s="22">
        <v>56488000</v>
      </c>
      <c r="U10" s="22">
        <v>40839000</v>
      </c>
      <c r="V10" s="22">
        <v>0</v>
      </c>
      <c r="W10" s="22">
        <v>898000</v>
      </c>
      <c r="X10" s="22">
        <v>70086000</v>
      </c>
      <c r="Y10" s="22">
        <v>1838000</v>
      </c>
      <c r="Z10" s="22">
        <v>63118000</v>
      </c>
      <c r="AA10" s="22">
        <v>0</v>
      </c>
      <c r="AB10" s="22">
        <v>4928000</v>
      </c>
      <c r="AC10" s="22">
        <v>168311000</v>
      </c>
      <c r="AD10" s="23">
        <v>76306000</v>
      </c>
      <c r="AH10" s="23">
        <v>1952000</v>
      </c>
      <c r="AJ10" s="23">
        <v>0</v>
      </c>
      <c r="AK10" s="23">
        <v>90053000</v>
      </c>
      <c r="AN10" s="23">
        <v>31148000</v>
      </c>
      <c r="AO10" s="23">
        <v>168311000</v>
      </c>
      <c r="AP10" s="24">
        <v>43629000</v>
      </c>
      <c r="AQ10" s="24">
        <v>-7468000</v>
      </c>
      <c r="AR10" s="24">
        <v>-115846000</v>
      </c>
      <c r="AT10" s="24">
        <v>7468000</v>
      </c>
      <c r="AV10" s="26">
        <v>25750000</v>
      </c>
      <c r="AW10" s="26">
        <v>145.4</v>
      </c>
      <c r="AX10" s="27">
        <f>AY10/AV10</f>
        <v>4.4899805825242716</v>
      </c>
      <c r="AY10" s="26">
        <v>115617000</v>
      </c>
      <c r="BB10" s="26">
        <f>AE10+AI10</f>
        <v>0</v>
      </c>
      <c r="BC10" s="16">
        <f>BB10-T10</f>
        <v>-56488000</v>
      </c>
    </row>
    <row r="11" spans="1:55" ht="17" x14ac:dyDescent="0.2">
      <c r="A11" s="18" t="s">
        <v>11</v>
      </c>
      <c r="B11" s="20" t="s">
        <v>55</v>
      </c>
      <c r="C11" s="21">
        <v>45163</v>
      </c>
      <c r="D11" s="20">
        <v>2023</v>
      </c>
      <c r="E11" s="20" t="s">
        <v>56</v>
      </c>
      <c r="F11" s="19">
        <v>83476000</v>
      </c>
      <c r="G11" s="19">
        <v>15165000</v>
      </c>
      <c r="H11" s="19">
        <v>68311000</v>
      </c>
      <c r="I11" s="19">
        <v>19924000</v>
      </c>
      <c r="J11" s="19">
        <f t="shared" si="0"/>
        <v>52888000</v>
      </c>
      <c r="K11" s="19">
        <v>4501000</v>
      </c>
      <c r="L11" s="19">
        <v>48387000</v>
      </c>
      <c r="M11" s="19">
        <v>3000</v>
      </c>
      <c r="N11" s="19">
        <v>77000</v>
      </c>
      <c r="O11" s="19">
        <v>68311000</v>
      </c>
      <c r="Q11" s="19">
        <v>45167000</v>
      </c>
      <c r="R11" s="19">
        <v>45167000</v>
      </c>
      <c r="S11" s="22">
        <v>175647000</v>
      </c>
      <c r="T11" s="22">
        <v>136173000</v>
      </c>
      <c r="U11" s="22">
        <v>38635000</v>
      </c>
      <c r="V11" s="22">
        <v>0</v>
      </c>
      <c r="W11" s="22">
        <v>839000</v>
      </c>
      <c r="X11" s="22">
        <v>63023000</v>
      </c>
      <c r="Y11" s="22">
        <v>2218000</v>
      </c>
      <c r="Z11" s="22">
        <v>60026000</v>
      </c>
      <c r="AA11" s="22">
        <v>0</v>
      </c>
      <c r="AB11" s="22">
        <v>578000</v>
      </c>
      <c r="AC11" s="22">
        <v>238670000</v>
      </c>
      <c r="AD11" s="23">
        <v>78408000</v>
      </c>
      <c r="AH11" s="23">
        <v>2342000</v>
      </c>
      <c r="AJ11" s="23">
        <v>0</v>
      </c>
      <c r="AK11" s="23">
        <v>161737000</v>
      </c>
      <c r="AN11" s="23">
        <v>126425000</v>
      </c>
      <c r="AO11" s="23">
        <v>242487000</v>
      </c>
      <c r="AP11" s="24">
        <v>47663000</v>
      </c>
      <c r="AQ11" s="24">
        <v>-7080000</v>
      </c>
      <c r="AR11" s="24">
        <v>-230000</v>
      </c>
      <c r="AT11" s="24">
        <v>7080000</v>
      </c>
      <c r="AV11" s="26">
        <v>25750000</v>
      </c>
      <c r="AW11" s="26">
        <v>128.80000000000001</v>
      </c>
      <c r="AX11" s="27">
        <f>AY11/AV11</f>
        <v>0</v>
      </c>
      <c r="AY11" s="26">
        <v>0</v>
      </c>
      <c r="BB11" s="26">
        <f>AE11+AI11</f>
        <v>0</v>
      </c>
      <c r="BC11" s="16">
        <f>BB11-T11</f>
        <v>-136173000</v>
      </c>
    </row>
    <row r="12" spans="1:55" ht="17" x14ac:dyDescent="0.2">
      <c r="A12" s="18" t="s">
        <v>11</v>
      </c>
      <c r="B12" s="20" t="s">
        <v>55</v>
      </c>
      <c r="C12" s="21">
        <v>45099</v>
      </c>
      <c r="D12" s="20">
        <v>2022</v>
      </c>
      <c r="E12" s="20" t="s">
        <v>59</v>
      </c>
      <c r="F12" s="19">
        <v>88530000</v>
      </c>
      <c r="G12" s="19">
        <v>14365000</v>
      </c>
      <c r="H12" s="19">
        <v>74165000</v>
      </c>
      <c r="I12" s="19">
        <v>20864000</v>
      </c>
      <c r="J12" s="19">
        <f t="shared" si="0"/>
        <v>57272000</v>
      </c>
      <c r="K12" s="19">
        <v>3971000</v>
      </c>
      <c r="L12" s="19">
        <v>53301000</v>
      </c>
      <c r="M12" s="19">
        <v>2000</v>
      </c>
      <c r="N12" s="19">
        <v>214000</v>
      </c>
      <c r="O12" s="19">
        <v>74165000</v>
      </c>
      <c r="Q12" s="19">
        <v>49607000</v>
      </c>
      <c r="R12" s="19">
        <v>49607000</v>
      </c>
      <c r="S12" s="22">
        <v>136956000</v>
      </c>
      <c r="T12" s="22">
        <v>95820000</v>
      </c>
      <c r="U12" s="22">
        <v>40269000</v>
      </c>
      <c r="V12" s="22">
        <v>0</v>
      </c>
      <c r="W12" s="22">
        <v>867000</v>
      </c>
      <c r="X12" s="22">
        <v>60375000</v>
      </c>
      <c r="Y12" s="22">
        <v>2673000</v>
      </c>
      <c r="Z12" s="22">
        <v>56992000</v>
      </c>
      <c r="AA12" s="22">
        <v>0</v>
      </c>
      <c r="AB12" s="22">
        <v>509000</v>
      </c>
      <c r="AC12" s="22">
        <v>197331000</v>
      </c>
      <c r="AD12" s="23">
        <v>82620000</v>
      </c>
      <c r="AH12" s="23">
        <v>2144000</v>
      </c>
      <c r="AJ12" s="23">
        <v>0</v>
      </c>
      <c r="AK12" s="23">
        <v>116586000</v>
      </c>
      <c r="AN12" s="23">
        <v>80657000</v>
      </c>
      <c r="AO12" s="23">
        <v>201350000</v>
      </c>
      <c r="AP12" s="24">
        <v>50129000</v>
      </c>
      <c r="AQ12" s="24">
        <v>-7334000</v>
      </c>
      <c r="AR12" s="24">
        <v>-37673000</v>
      </c>
      <c r="AT12" s="24">
        <v>7334000</v>
      </c>
      <c r="AV12" s="26">
        <v>25750000</v>
      </c>
      <c r="AW12" s="26">
        <v>143.19999999999999</v>
      </c>
      <c r="AX12" s="27">
        <f>AY12/AV12</f>
        <v>1.46</v>
      </c>
      <c r="AY12" s="26">
        <v>37595000</v>
      </c>
      <c r="BB12" s="26">
        <f>AE12+AI12</f>
        <v>0</v>
      </c>
      <c r="BC12" s="16">
        <f>BB12-T12</f>
        <v>-95820000</v>
      </c>
    </row>
    <row r="13" spans="1:55" ht="17" x14ac:dyDescent="0.2">
      <c r="A13" s="18" t="s">
        <v>11</v>
      </c>
      <c r="B13" s="20" t="s">
        <v>55</v>
      </c>
      <c r="C13" s="21">
        <v>44980</v>
      </c>
      <c r="D13" s="20">
        <v>2022</v>
      </c>
      <c r="E13" s="20" t="s">
        <v>58</v>
      </c>
      <c r="F13" s="19">
        <v>85900000</v>
      </c>
      <c r="G13" s="19">
        <v>12530000</v>
      </c>
      <c r="H13" s="19">
        <v>73370000</v>
      </c>
      <c r="I13" s="19">
        <v>22440000</v>
      </c>
      <c r="J13" s="19">
        <f t="shared" si="0"/>
        <v>54629000</v>
      </c>
      <c r="K13" s="19">
        <v>3699000</v>
      </c>
      <c r="L13" s="19">
        <v>50930000</v>
      </c>
      <c r="M13" s="19">
        <v>3000</v>
      </c>
      <c r="N13" s="19">
        <v>121000</v>
      </c>
      <c r="O13" s="19">
        <v>73370000</v>
      </c>
      <c r="Q13" s="19">
        <v>47184000</v>
      </c>
      <c r="R13" s="19">
        <v>47184000</v>
      </c>
      <c r="S13" s="22">
        <v>125534000</v>
      </c>
      <c r="T13" s="22">
        <v>90698000</v>
      </c>
      <c r="U13" s="22">
        <v>33903000</v>
      </c>
      <c r="V13" s="22">
        <v>0</v>
      </c>
      <c r="W13" s="22">
        <v>933000</v>
      </c>
      <c r="X13" s="22">
        <v>57062000</v>
      </c>
      <c r="Y13" s="22">
        <v>2889000</v>
      </c>
      <c r="Z13" s="22">
        <v>53413000</v>
      </c>
      <c r="AA13" s="22">
        <v>0</v>
      </c>
      <c r="AB13" s="22">
        <v>559000</v>
      </c>
      <c r="AC13" s="22">
        <v>182596000</v>
      </c>
      <c r="AD13" s="23">
        <v>75180000</v>
      </c>
      <c r="AH13" s="23">
        <v>1464000</v>
      </c>
      <c r="AJ13" s="23">
        <v>0</v>
      </c>
      <c r="AK13" s="23">
        <v>109684000</v>
      </c>
      <c r="AN13" s="23">
        <v>73132000</v>
      </c>
      <c r="AO13" s="23">
        <v>186328000</v>
      </c>
      <c r="AP13" s="24">
        <v>64504000</v>
      </c>
      <c r="AQ13" s="24">
        <v>-14647000</v>
      </c>
      <c r="AR13" s="24">
        <v>-204000</v>
      </c>
      <c r="AT13" s="24">
        <v>14647000</v>
      </c>
      <c r="AV13" s="26">
        <v>25750000</v>
      </c>
      <c r="AW13" s="26">
        <v>107</v>
      </c>
      <c r="AX13" s="27">
        <f>AY13/AV13</f>
        <v>-3.8834951456310678E-5</v>
      </c>
      <c r="AY13" s="26">
        <v>-1000</v>
      </c>
      <c r="BB13" s="26">
        <f>AE13+AI13</f>
        <v>0</v>
      </c>
      <c r="BC13" s="16">
        <f>BB13-T13</f>
        <v>-90698000</v>
      </c>
    </row>
    <row r="14" spans="1:55" ht="17" x14ac:dyDescent="0.2">
      <c r="A14" s="18" t="s">
        <v>11</v>
      </c>
      <c r="B14" s="20" t="s">
        <v>55</v>
      </c>
      <c r="C14" s="21">
        <v>44887</v>
      </c>
      <c r="D14" s="20">
        <v>2022</v>
      </c>
      <c r="E14" s="20" t="s">
        <v>57</v>
      </c>
      <c r="F14" s="19">
        <v>74512000</v>
      </c>
      <c r="G14" s="19">
        <v>9436000</v>
      </c>
      <c r="H14" s="19">
        <v>65076000</v>
      </c>
      <c r="I14" s="19">
        <v>22524000</v>
      </c>
      <c r="J14" s="19">
        <f t="shared" si="0"/>
        <v>46032000</v>
      </c>
      <c r="K14" s="19">
        <v>3480000</v>
      </c>
      <c r="L14" s="19">
        <v>42552000</v>
      </c>
      <c r="M14" s="19">
        <v>-83000</v>
      </c>
      <c r="N14" s="19">
        <v>33000</v>
      </c>
      <c r="O14" s="19">
        <v>65076000</v>
      </c>
      <c r="Q14" s="19">
        <v>39674000</v>
      </c>
      <c r="R14" s="19">
        <v>39674000</v>
      </c>
      <c r="S14" s="22">
        <v>87880000</v>
      </c>
      <c r="T14" s="22">
        <v>41045000</v>
      </c>
      <c r="U14" s="22">
        <v>45835000</v>
      </c>
      <c r="V14" s="22">
        <v>0</v>
      </c>
      <c r="W14" s="22">
        <v>1000000</v>
      </c>
      <c r="X14" s="22">
        <v>46124000</v>
      </c>
      <c r="Y14" s="22">
        <v>3024000</v>
      </c>
      <c r="Z14" s="22">
        <v>42330000</v>
      </c>
      <c r="AA14" s="22">
        <v>0</v>
      </c>
      <c r="AB14" s="22">
        <v>565000</v>
      </c>
      <c r="AC14" s="22">
        <v>134004000</v>
      </c>
      <c r="AD14" s="23">
        <v>67028000</v>
      </c>
      <c r="AH14" s="23">
        <v>1489000</v>
      </c>
      <c r="AJ14" s="23">
        <v>0</v>
      </c>
      <c r="AK14" s="23">
        <v>69283000</v>
      </c>
      <c r="AN14" s="23">
        <v>25888000</v>
      </c>
      <c r="AO14" s="23">
        <v>137800000</v>
      </c>
      <c r="AP14" s="24">
        <v>42814000</v>
      </c>
      <c r="AQ14" s="24">
        <v>-5543000</v>
      </c>
      <c r="AR14" s="24">
        <v>-84082000</v>
      </c>
      <c r="AT14" s="24">
        <v>5543000</v>
      </c>
      <c r="AV14" s="26">
        <v>25750000</v>
      </c>
      <c r="AW14" s="26">
        <v>108.8</v>
      </c>
      <c r="AX14" s="27">
        <f>AY14/AV14</f>
        <v>3.26</v>
      </c>
      <c r="AY14" s="26">
        <v>83945000</v>
      </c>
      <c r="BB14" s="26">
        <f>AE14+AI14</f>
        <v>0</v>
      </c>
      <c r="BC14" s="16">
        <f>BB14-T14</f>
        <v>-41045000</v>
      </c>
    </row>
    <row r="15" spans="1:55" ht="17" x14ac:dyDescent="0.2">
      <c r="A15" s="18" t="s">
        <v>11</v>
      </c>
      <c r="B15" s="20" t="s">
        <v>55</v>
      </c>
      <c r="C15" s="21">
        <v>44797</v>
      </c>
      <c r="D15" s="20">
        <v>2022</v>
      </c>
      <c r="E15" s="20" t="s">
        <v>56</v>
      </c>
      <c r="F15" s="19">
        <v>66780000</v>
      </c>
      <c r="G15" s="19">
        <v>10016000</v>
      </c>
      <c r="H15" s="19">
        <v>56764000</v>
      </c>
      <c r="I15" s="19">
        <v>18059000</v>
      </c>
      <c r="J15" s="19">
        <f t="shared" si="0"/>
        <v>42033000</v>
      </c>
      <c r="K15" s="19">
        <v>3328000</v>
      </c>
      <c r="L15" s="19">
        <v>38705000</v>
      </c>
      <c r="M15" s="19">
        <v>96000</v>
      </c>
      <c r="N15" s="19">
        <v>63000</v>
      </c>
      <c r="O15" s="19">
        <v>56764000</v>
      </c>
      <c r="Q15" s="19">
        <v>35892000</v>
      </c>
      <c r="R15" s="19">
        <v>35892000</v>
      </c>
      <c r="S15" s="22">
        <v>131565000</v>
      </c>
      <c r="T15" s="22">
        <v>87856000</v>
      </c>
      <c r="U15" s="22">
        <v>43361000</v>
      </c>
      <c r="V15" s="22">
        <v>0</v>
      </c>
      <c r="W15" s="22">
        <v>348000</v>
      </c>
      <c r="X15" s="22">
        <v>43892000</v>
      </c>
      <c r="Y15" s="22">
        <v>3157000</v>
      </c>
      <c r="Z15" s="22">
        <v>40136000</v>
      </c>
      <c r="AA15" s="22">
        <v>0</v>
      </c>
      <c r="AB15" s="22">
        <v>401000</v>
      </c>
      <c r="AC15" s="22">
        <v>175457000</v>
      </c>
      <c r="AD15" s="23">
        <v>58678000</v>
      </c>
      <c r="AH15" s="23">
        <v>1683000</v>
      </c>
      <c r="AJ15" s="23">
        <v>0</v>
      </c>
      <c r="AK15" s="23">
        <v>118260000</v>
      </c>
      <c r="AN15" s="23">
        <v>82398000</v>
      </c>
      <c r="AO15" s="23">
        <v>178621000</v>
      </c>
      <c r="AP15" s="24">
        <v>37331000</v>
      </c>
      <c r="AQ15" s="24">
        <v>-4933000</v>
      </c>
      <c r="AR15" s="24">
        <v>-208000</v>
      </c>
      <c r="AT15" s="24">
        <v>4933000</v>
      </c>
      <c r="AV15" s="26">
        <v>25750000</v>
      </c>
      <c r="AW15" s="26">
        <v>98.5</v>
      </c>
      <c r="AX15" s="27">
        <f>AY15/AV15</f>
        <v>0</v>
      </c>
      <c r="AY15" s="26">
        <v>0</v>
      </c>
      <c r="BB15" s="26">
        <f>AE15+AI15</f>
        <v>0</v>
      </c>
      <c r="BC15" s="16">
        <f>BB15-T15</f>
        <v>-87856000</v>
      </c>
    </row>
    <row r="16" spans="1:55" ht="17" x14ac:dyDescent="0.2">
      <c r="A16" s="18" t="s">
        <v>11</v>
      </c>
      <c r="B16" s="20" t="s">
        <v>55</v>
      </c>
      <c r="C16" s="21">
        <v>44742</v>
      </c>
      <c r="D16" s="20">
        <v>2021</v>
      </c>
      <c r="E16" s="20" t="s">
        <v>59</v>
      </c>
      <c r="F16" s="19">
        <v>61817000</v>
      </c>
      <c r="G16" s="19">
        <v>10386000</v>
      </c>
      <c r="H16" s="19">
        <v>51431000</v>
      </c>
      <c r="I16" s="19">
        <v>19184000</v>
      </c>
      <c r="J16" s="19">
        <f t="shared" si="0"/>
        <v>35418000</v>
      </c>
      <c r="K16" s="19">
        <v>3171000</v>
      </c>
      <c r="L16" s="19">
        <v>32247000</v>
      </c>
      <c r="M16" s="19">
        <v>1000</v>
      </c>
      <c r="N16" s="19">
        <v>-369000</v>
      </c>
      <c r="O16" s="19">
        <v>51431000</v>
      </c>
      <c r="Q16" s="19">
        <v>30306000</v>
      </c>
      <c r="R16" s="19">
        <v>30306000</v>
      </c>
      <c r="S16" s="22">
        <v>95521000</v>
      </c>
      <c r="T16" s="22">
        <v>55666000</v>
      </c>
      <c r="U16" s="22">
        <v>39444000</v>
      </c>
      <c r="V16" s="22">
        <v>0</v>
      </c>
      <c r="W16" s="22">
        <v>411000</v>
      </c>
      <c r="X16" s="22">
        <v>42231000</v>
      </c>
      <c r="Y16" s="22">
        <v>3232000</v>
      </c>
      <c r="Z16" s="22">
        <v>38456000</v>
      </c>
      <c r="AA16" s="22">
        <v>0</v>
      </c>
      <c r="AB16" s="22">
        <v>349000</v>
      </c>
      <c r="AC16" s="22">
        <v>137752000</v>
      </c>
      <c r="AD16" s="23">
        <v>52215000</v>
      </c>
      <c r="AH16" s="23">
        <v>1644000</v>
      </c>
      <c r="AJ16" s="23">
        <v>0</v>
      </c>
      <c r="AK16" s="23">
        <v>86748000</v>
      </c>
      <c r="AN16" s="23">
        <v>52208000</v>
      </c>
      <c r="AO16" s="23">
        <v>140607000</v>
      </c>
      <c r="AP16" s="24">
        <v>14505000</v>
      </c>
      <c r="AQ16" s="24">
        <v>-3900000</v>
      </c>
      <c r="AR16" s="24">
        <v>-29474000</v>
      </c>
      <c r="AT16" s="24">
        <v>3796000</v>
      </c>
      <c r="AV16" s="26">
        <v>25750000</v>
      </c>
      <c r="AX16" s="27">
        <f>AY16/AV16</f>
        <v>1.1399611650485437</v>
      </c>
      <c r="AY16" s="26">
        <v>29354000</v>
      </c>
      <c r="BB16" s="26">
        <f>AE16+AI16</f>
        <v>0</v>
      </c>
      <c r="BC16" s="16">
        <f>BB16-T16</f>
        <v>-55666000</v>
      </c>
    </row>
    <row r="17" spans="1:55" ht="17" x14ac:dyDescent="0.2">
      <c r="A17" s="18" t="s">
        <v>11</v>
      </c>
      <c r="B17" s="20" t="s">
        <v>55</v>
      </c>
      <c r="C17" s="21">
        <v>44617</v>
      </c>
      <c r="D17" s="20">
        <v>2021</v>
      </c>
      <c r="E17" s="20" t="s">
        <v>58</v>
      </c>
      <c r="F17" s="19">
        <v>56130000</v>
      </c>
      <c r="G17" s="19">
        <v>8648000</v>
      </c>
      <c r="H17" s="19">
        <v>47482000</v>
      </c>
      <c r="I17" s="19">
        <v>15507000</v>
      </c>
      <c r="J17" s="19">
        <f t="shared" si="0"/>
        <v>35039000</v>
      </c>
      <c r="K17" s="19">
        <v>3064000</v>
      </c>
      <c r="L17" s="19">
        <v>31975000</v>
      </c>
      <c r="M17" s="19">
        <v>0</v>
      </c>
      <c r="N17" s="19">
        <v>477000</v>
      </c>
      <c r="O17" s="19">
        <v>47482000</v>
      </c>
      <c r="Q17" s="19">
        <v>29423000</v>
      </c>
      <c r="R17" s="19">
        <v>29423000</v>
      </c>
      <c r="S17" s="22">
        <v>99335000</v>
      </c>
      <c r="T17" s="22">
        <v>74534000</v>
      </c>
      <c r="U17" s="22">
        <v>24481000</v>
      </c>
      <c r="V17" s="22">
        <v>0</v>
      </c>
      <c r="W17" s="22">
        <v>320000</v>
      </c>
      <c r="X17" s="22">
        <v>40639000</v>
      </c>
      <c r="Y17" s="22">
        <v>3221000</v>
      </c>
      <c r="Z17" s="22">
        <v>36894000</v>
      </c>
      <c r="AA17" s="22">
        <v>0</v>
      </c>
      <c r="AB17" s="22">
        <v>335000</v>
      </c>
      <c r="AC17" s="22">
        <v>139974000</v>
      </c>
      <c r="AP17" s="24">
        <v>24023000</v>
      </c>
      <c r="AQ17" s="24">
        <v>-4840000</v>
      </c>
      <c r="AR17" s="24">
        <v>-200000</v>
      </c>
      <c r="AT17" s="24">
        <v>4968000</v>
      </c>
      <c r="AV17" s="26">
        <v>25750000</v>
      </c>
      <c r="AX17" s="27">
        <f>AY17/AV17</f>
        <v>0</v>
      </c>
      <c r="AY17" s="26">
        <v>0</v>
      </c>
      <c r="BB17" s="26">
        <f>AE17+AI17</f>
        <v>0</v>
      </c>
      <c r="BC17" s="16">
        <f>BB17-T17</f>
        <v>-74534000</v>
      </c>
    </row>
    <row r="18" spans="1:55" ht="17" x14ac:dyDescent="0.2">
      <c r="A18" s="18" t="s">
        <v>11</v>
      </c>
      <c r="B18" s="20" t="s">
        <v>55</v>
      </c>
      <c r="C18" s="21">
        <v>44524</v>
      </c>
      <c r="D18" s="20">
        <v>2021</v>
      </c>
      <c r="E18" s="20" t="s">
        <v>57</v>
      </c>
      <c r="F18" s="19">
        <v>55659000</v>
      </c>
      <c r="G18" s="19">
        <v>5188000</v>
      </c>
      <c r="H18" s="19">
        <v>50471000</v>
      </c>
      <c r="I18" s="19">
        <v>14700000</v>
      </c>
      <c r="J18" s="19">
        <f t="shared" si="0"/>
        <v>38563000</v>
      </c>
      <c r="K18" s="19">
        <v>2792000</v>
      </c>
      <c r="L18" s="19">
        <v>35771000</v>
      </c>
      <c r="M18" s="19">
        <v>-393000</v>
      </c>
      <c r="N18" s="19">
        <v>9000</v>
      </c>
      <c r="O18" s="19">
        <v>50471000</v>
      </c>
      <c r="Q18" s="19">
        <v>32682000</v>
      </c>
      <c r="R18" s="19">
        <v>32682000</v>
      </c>
      <c r="S18" s="22">
        <v>80791000</v>
      </c>
      <c r="T18" s="22">
        <v>55552000</v>
      </c>
      <c r="U18" s="22">
        <v>24875000</v>
      </c>
      <c r="V18" s="22">
        <v>0</v>
      </c>
      <c r="W18" s="22">
        <v>364000</v>
      </c>
      <c r="X18" s="22">
        <v>39653000</v>
      </c>
      <c r="Y18" s="22">
        <v>3234000</v>
      </c>
      <c r="Z18" s="22">
        <v>35925000</v>
      </c>
      <c r="AA18" s="22">
        <v>0</v>
      </c>
      <c r="AB18" s="22">
        <v>312000</v>
      </c>
      <c r="AC18" s="22">
        <v>120444000</v>
      </c>
      <c r="AP18" s="24">
        <v>35960000</v>
      </c>
      <c r="AQ18" s="24">
        <v>-4254000</v>
      </c>
      <c r="AR18" s="24">
        <v>-72301000</v>
      </c>
      <c r="AT18" s="24">
        <v>4254000</v>
      </c>
      <c r="AV18" s="26">
        <v>25750000</v>
      </c>
      <c r="AX18" s="27">
        <f>AY18/AV18</f>
        <v>2.8</v>
      </c>
      <c r="AY18" s="26">
        <v>72100000</v>
      </c>
      <c r="BB18" s="26">
        <f>AE18+AI18</f>
        <v>0</v>
      </c>
      <c r="BC18" s="16">
        <f>BB18-T18</f>
        <v>-55552000</v>
      </c>
    </row>
    <row r="19" spans="1:55" ht="17" x14ac:dyDescent="0.2">
      <c r="A19" s="18" t="s">
        <v>11</v>
      </c>
      <c r="B19" s="20" t="s">
        <v>55</v>
      </c>
      <c r="C19" s="21">
        <v>44439</v>
      </c>
      <c r="D19" s="20">
        <v>2021</v>
      </c>
      <c r="E19" s="20" t="s">
        <v>56</v>
      </c>
      <c r="F19" s="19">
        <v>48909000</v>
      </c>
      <c r="G19" s="19">
        <v>7906000</v>
      </c>
      <c r="H19" s="19">
        <v>41003000</v>
      </c>
      <c r="I19" s="19">
        <v>12930000</v>
      </c>
      <c r="J19" s="19">
        <f t="shared" si="0"/>
        <v>30967000</v>
      </c>
      <c r="K19" s="19">
        <v>2894000</v>
      </c>
      <c r="L19" s="19">
        <v>28073000</v>
      </c>
      <c r="M19" s="19">
        <v>393000</v>
      </c>
      <c r="N19" s="19">
        <v>8000</v>
      </c>
      <c r="O19" s="19">
        <v>41003000</v>
      </c>
      <c r="Q19" s="19">
        <v>26612000</v>
      </c>
      <c r="R19" s="19">
        <v>26612000</v>
      </c>
      <c r="S19" s="22">
        <v>114485000</v>
      </c>
      <c r="T19" s="22">
        <v>96146000</v>
      </c>
      <c r="U19" s="22">
        <v>18067000</v>
      </c>
      <c r="V19" s="22">
        <v>0</v>
      </c>
      <c r="W19" s="22">
        <v>272000</v>
      </c>
      <c r="X19" s="22">
        <v>38133000</v>
      </c>
      <c r="Y19" s="22">
        <v>3458000</v>
      </c>
      <c r="Z19" s="22">
        <v>34240000</v>
      </c>
      <c r="AA19" s="22">
        <v>0</v>
      </c>
      <c r="AB19" s="22">
        <v>253000</v>
      </c>
      <c r="AC19" s="22">
        <v>152618000</v>
      </c>
      <c r="AP19" s="24">
        <v>40967000</v>
      </c>
      <c r="AQ19" s="24">
        <v>-3851000</v>
      </c>
      <c r="AR19" s="24">
        <v>-202000</v>
      </c>
      <c r="AT19" s="24">
        <v>3851000</v>
      </c>
      <c r="AV19" s="26">
        <v>25750000</v>
      </c>
      <c r="AX19" s="27">
        <f>AY19/AV19</f>
        <v>0</v>
      </c>
      <c r="AY19" s="26">
        <v>0</v>
      </c>
      <c r="BB19" s="26">
        <f>AE19+AI19</f>
        <v>0</v>
      </c>
      <c r="BC19" s="16">
        <f>BB19-T19</f>
        <v>-96146000</v>
      </c>
    </row>
    <row r="20" spans="1:55" ht="17" x14ac:dyDescent="0.2">
      <c r="A20" s="18" t="s">
        <v>11</v>
      </c>
      <c r="B20" s="20" t="s">
        <v>55</v>
      </c>
      <c r="C20" s="21">
        <v>44349</v>
      </c>
      <c r="D20" s="20">
        <v>2020</v>
      </c>
      <c r="E20" s="20" t="s">
        <v>59</v>
      </c>
      <c r="F20" s="19">
        <v>48052000</v>
      </c>
      <c r="G20" s="19">
        <v>6259000</v>
      </c>
      <c r="H20" s="19">
        <v>41793000</v>
      </c>
      <c r="I20" s="19">
        <v>12262000</v>
      </c>
      <c r="J20" s="19">
        <f t="shared" si="0"/>
        <v>32198000</v>
      </c>
      <c r="K20" s="19">
        <v>2667000</v>
      </c>
      <c r="L20" s="19">
        <v>29531000</v>
      </c>
      <c r="M20" s="19">
        <v>-93000</v>
      </c>
      <c r="N20" s="19">
        <v>6000</v>
      </c>
      <c r="O20" s="19">
        <v>41793000</v>
      </c>
      <c r="Q20" s="19">
        <v>27515000</v>
      </c>
      <c r="R20" s="19">
        <v>27515000</v>
      </c>
      <c r="S20" s="22">
        <v>85150000</v>
      </c>
      <c r="T20" s="22">
        <v>59233000</v>
      </c>
      <c r="U20" s="22">
        <v>25807000</v>
      </c>
      <c r="V20" s="22">
        <v>0</v>
      </c>
      <c r="W20" s="22">
        <v>110000</v>
      </c>
      <c r="X20" s="22">
        <v>37168000</v>
      </c>
      <c r="Y20" s="22">
        <v>3657000</v>
      </c>
      <c r="Z20" s="22">
        <v>33083000</v>
      </c>
      <c r="AA20" s="22">
        <v>0</v>
      </c>
      <c r="AB20" s="22">
        <v>246000</v>
      </c>
      <c r="AC20" s="22">
        <v>122318000</v>
      </c>
      <c r="AP20" s="24">
        <v>28669000</v>
      </c>
      <c r="AQ20" s="24">
        <v>-3278000</v>
      </c>
      <c r="AR20" s="24">
        <v>-23122000</v>
      </c>
      <c r="AT20" s="24">
        <v>3248000</v>
      </c>
      <c r="AV20" s="26">
        <v>25750000</v>
      </c>
      <c r="AX20" s="27">
        <f>AY20/AV20</f>
        <v>0.8900194174757281</v>
      </c>
      <c r="AY20" s="26">
        <v>22918000</v>
      </c>
      <c r="BB20" s="26">
        <f>AE20+AI20</f>
        <v>0</v>
      </c>
      <c r="BC20" s="16">
        <f>BB20-T20</f>
        <v>-59233000</v>
      </c>
    </row>
    <row r="21" spans="1:55" ht="17" x14ac:dyDescent="0.2">
      <c r="A21" s="18" t="s">
        <v>11</v>
      </c>
      <c r="B21" s="20" t="s">
        <v>55</v>
      </c>
      <c r="C21" s="21">
        <v>44250</v>
      </c>
      <c r="D21" s="20">
        <v>2020</v>
      </c>
      <c r="E21" s="20" t="s">
        <v>58</v>
      </c>
      <c r="F21" s="19">
        <v>46220000</v>
      </c>
      <c r="G21" s="19">
        <v>7065000</v>
      </c>
      <c r="H21" s="19">
        <v>39155000</v>
      </c>
      <c r="I21" s="19">
        <v>11262000</v>
      </c>
      <c r="J21" s="19">
        <f t="shared" si="0"/>
        <v>30394000</v>
      </c>
      <c r="K21" s="19">
        <v>2501000</v>
      </c>
      <c r="L21" s="19">
        <v>27893000</v>
      </c>
      <c r="M21" s="19">
        <v>94000</v>
      </c>
      <c r="N21" s="19">
        <v>-31000</v>
      </c>
      <c r="O21" s="19">
        <v>39155000</v>
      </c>
      <c r="Q21" s="19">
        <v>26206000</v>
      </c>
      <c r="R21" s="19">
        <v>26206000</v>
      </c>
      <c r="S21" s="22">
        <v>77155000</v>
      </c>
      <c r="T21" s="22">
        <v>56964000</v>
      </c>
      <c r="U21" s="22">
        <v>20060000</v>
      </c>
      <c r="V21" s="22">
        <v>0</v>
      </c>
      <c r="W21" s="22">
        <v>131000</v>
      </c>
      <c r="X21" s="22">
        <v>36053000</v>
      </c>
      <c r="Y21" s="22">
        <v>3721000</v>
      </c>
      <c r="Z21" s="22">
        <v>29561000</v>
      </c>
      <c r="AA21" s="22">
        <v>0</v>
      </c>
      <c r="AB21" s="22">
        <v>2589000</v>
      </c>
      <c r="AC21" s="22">
        <v>113208000</v>
      </c>
      <c r="AP21" s="24">
        <v>29821000</v>
      </c>
      <c r="AQ21" s="24">
        <v>-3786000</v>
      </c>
      <c r="AR21" s="24">
        <v>-206000</v>
      </c>
      <c r="AT21" s="24">
        <v>3782000</v>
      </c>
      <c r="AV21" s="26">
        <v>25750000</v>
      </c>
      <c r="AX21" s="27">
        <f>AY21/AV21</f>
        <v>0</v>
      </c>
      <c r="AY21" s="26">
        <v>0</v>
      </c>
      <c r="BB21" s="26">
        <f>AE21+AI21</f>
        <v>0</v>
      </c>
      <c r="BC21" s="16">
        <f>BB21-T21</f>
        <v>-56964000</v>
      </c>
    </row>
    <row r="22" spans="1:55" ht="17" x14ac:dyDescent="0.2">
      <c r="A22" s="18" t="s">
        <v>11</v>
      </c>
      <c r="B22" s="20" t="s">
        <v>55</v>
      </c>
      <c r="C22" s="21">
        <v>44159</v>
      </c>
      <c r="D22" s="20">
        <v>2020</v>
      </c>
      <c r="E22" s="20" t="s">
        <v>57</v>
      </c>
      <c r="F22" s="19">
        <v>43110000</v>
      </c>
      <c r="G22" s="19">
        <v>8980000</v>
      </c>
      <c r="H22" s="19">
        <v>34130000</v>
      </c>
      <c r="I22" s="19">
        <v>10264000</v>
      </c>
      <c r="J22" s="19">
        <f t="shared" si="0"/>
        <v>26255000</v>
      </c>
      <c r="K22" s="19">
        <v>2389000</v>
      </c>
      <c r="L22" s="19">
        <v>23866000</v>
      </c>
      <c r="M22" s="19">
        <v>1000</v>
      </c>
      <c r="N22" s="19">
        <v>-516000</v>
      </c>
      <c r="O22" s="19">
        <v>34130000</v>
      </c>
      <c r="Q22" s="19">
        <v>25637000</v>
      </c>
      <c r="R22" s="19">
        <v>25637000</v>
      </c>
      <c r="S22" s="22">
        <v>50548000</v>
      </c>
      <c r="T22" s="22">
        <v>31136000</v>
      </c>
      <c r="U22" s="22">
        <v>19284000</v>
      </c>
      <c r="V22" s="22">
        <v>0</v>
      </c>
      <c r="W22" s="22">
        <v>128000</v>
      </c>
      <c r="X22" s="22">
        <v>34950000</v>
      </c>
      <c r="Y22" s="22">
        <v>3914000</v>
      </c>
      <c r="Z22" s="22">
        <v>27355000</v>
      </c>
      <c r="AA22" s="22">
        <v>0</v>
      </c>
      <c r="AB22" s="22">
        <v>3499000</v>
      </c>
      <c r="AC22" s="22">
        <v>85498000</v>
      </c>
      <c r="AP22" s="24">
        <v>23694000</v>
      </c>
      <c r="AQ22" s="24">
        <v>-3814000</v>
      </c>
      <c r="AR22" s="24">
        <v>-48617000</v>
      </c>
      <c r="AT22" s="24">
        <v>3812000</v>
      </c>
      <c r="AV22" s="26">
        <v>25750000</v>
      </c>
      <c r="AX22" s="27">
        <f>AY22/AV22</f>
        <v>1.88</v>
      </c>
      <c r="AY22" s="26">
        <v>48410000</v>
      </c>
      <c r="BB22" s="26">
        <f>AE22+AI22</f>
        <v>0</v>
      </c>
      <c r="BC22" s="16">
        <f>BB22-T22</f>
        <v>-31136000</v>
      </c>
    </row>
    <row r="23" spans="1:55" ht="17" x14ac:dyDescent="0.2">
      <c r="A23" s="18" t="s">
        <v>11</v>
      </c>
      <c r="B23" s="20" t="s">
        <v>55</v>
      </c>
      <c r="C23" s="21">
        <v>44068</v>
      </c>
      <c r="D23" s="20">
        <v>2020</v>
      </c>
      <c r="E23" s="20" t="s">
        <v>56</v>
      </c>
      <c r="F23" s="19">
        <v>41628000</v>
      </c>
      <c r="G23" s="19">
        <v>5603000</v>
      </c>
      <c r="H23" s="19">
        <v>36025000</v>
      </c>
      <c r="I23" s="19">
        <v>10202000</v>
      </c>
      <c r="J23" s="19">
        <f t="shared" si="0"/>
        <v>28048000</v>
      </c>
      <c r="K23" s="19">
        <v>2225000</v>
      </c>
      <c r="L23" s="19">
        <v>25823000</v>
      </c>
      <c r="M23" s="19">
        <v>3000</v>
      </c>
      <c r="N23" s="19">
        <v>555000</v>
      </c>
      <c r="O23" s="19">
        <v>36025000</v>
      </c>
      <c r="Q23" s="19">
        <v>20802000</v>
      </c>
      <c r="R23" s="19">
        <v>20802000</v>
      </c>
      <c r="S23" s="22">
        <v>74528000</v>
      </c>
      <c r="T23" s="22">
        <v>59873000</v>
      </c>
      <c r="U23" s="22">
        <v>14593000</v>
      </c>
      <c r="V23" s="22">
        <v>0</v>
      </c>
      <c r="W23" s="22">
        <v>62000</v>
      </c>
      <c r="X23" s="22">
        <v>34380000</v>
      </c>
      <c r="Y23" s="22">
        <v>4070000</v>
      </c>
      <c r="Z23" s="22">
        <v>27478000</v>
      </c>
      <c r="AA23" s="22">
        <v>0</v>
      </c>
      <c r="AB23" s="22">
        <v>2650000</v>
      </c>
      <c r="AC23" s="22">
        <v>108908000</v>
      </c>
      <c r="AP23" s="24">
        <v>24310000</v>
      </c>
      <c r="AQ23" s="24">
        <v>-2910000</v>
      </c>
      <c r="AR23" s="24">
        <v>-209000</v>
      </c>
      <c r="AT23" s="24">
        <v>2946000</v>
      </c>
      <c r="AV23" s="26">
        <v>25750000</v>
      </c>
      <c r="AX23" s="27">
        <f>AY23/AV23</f>
        <v>0</v>
      </c>
      <c r="AY23" s="26">
        <v>0</v>
      </c>
      <c r="BB23" s="26">
        <f>AE23+AI23</f>
        <v>0</v>
      </c>
      <c r="BC23" s="16">
        <f>BB23-T23</f>
        <v>-59873000</v>
      </c>
    </row>
    <row r="24" spans="1:55" ht="17" x14ac:dyDescent="0.2">
      <c r="A24" s="18" t="s">
        <v>11</v>
      </c>
      <c r="B24" s="20" t="s">
        <v>55</v>
      </c>
      <c r="C24" s="21">
        <v>43985</v>
      </c>
      <c r="D24" s="20">
        <v>2019</v>
      </c>
      <c r="E24" s="20" t="s">
        <v>59</v>
      </c>
      <c r="F24" s="19">
        <v>36014000</v>
      </c>
      <c r="G24" s="19">
        <v>3491000</v>
      </c>
      <c r="H24" s="19">
        <v>32523000</v>
      </c>
      <c r="I24" s="19">
        <v>8868000</v>
      </c>
      <c r="J24" s="19">
        <f t="shared" si="0"/>
        <v>26053000</v>
      </c>
      <c r="K24" s="19">
        <v>2398000</v>
      </c>
      <c r="L24" s="19">
        <v>23655000</v>
      </c>
      <c r="M24" s="19">
        <v>10000</v>
      </c>
      <c r="N24" s="19">
        <v>105000</v>
      </c>
      <c r="O24" s="19">
        <v>32523000</v>
      </c>
      <c r="Q24" s="19">
        <v>29222000</v>
      </c>
      <c r="R24" s="19">
        <v>29222000</v>
      </c>
      <c r="S24" s="22">
        <v>54557000</v>
      </c>
      <c r="T24" s="22">
        <v>38682000</v>
      </c>
      <c r="U24" s="22">
        <v>15815000</v>
      </c>
      <c r="V24" s="22">
        <v>0</v>
      </c>
      <c r="W24" s="22">
        <v>60000</v>
      </c>
      <c r="X24" s="22">
        <v>33071000</v>
      </c>
      <c r="Y24" s="22">
        <v>4321000</v>
      </c>
      <c r="Z24" s="22">
        <v>26528000</v>
      </c>
      <c r="AA24" s="22">
        <v>0</v>
      </c>
      <c r="AB24" s="22">
        <v>2040000</v>
      </c>
      <c r="AC24" s="22">
        <v>87628000</v>
      </c>
      <c r="AP24" s="24">
        <v>24419000</v>
      </c>
      <c r="AQ24" s="24">
        <v>-9183000</v>
      </c>
      <c r="AR24" s="24">
        <v>-15984000</v>
      </c>
      <c r="AT24" s="24">
        <v>9143000</v>
      </c>
      <c r="AV24" s="26">
        <v>25750000</v>
      </c>
      <c r="AX24" s="27">
        <f>AY24/AV24</f>
        <v>0.6</v>
      </c>
      <c r="AY24" s="26">
        <v>15450000</v>
      </c>
      <c r="BB24" s="26">
        <f>AE24+AI24</f>
        <v>0</v>
      </c>
      <c r="BC24" s="16">
        <f>BB24-T24</f>
        <v>-38682000</v>
      </c>
    </row>
    <row r="25" spans="1:55" ht="17" x14ac:dyDescent="0.2">
      <c r="A25" s="18" t="s">
        <v>11</v>
      </c>
      <c r="B25" s="20" t="s">
        <v>55</v>
      </c>
      <c r="C25" s="21">
        <v>43881</v>
      </c>
      <c r="D25" s="20">
        <v>2019</v>
      </c>
      <c r="E25" s="20" t="s">
        <v>58</v>
      </c>
      <c r="F25" s="19">
        <v>32356000</v>
      </c>
      <c r="G25" s="19">
        <v>5015000</v>
      </c>
      <c r="H25" s="19">
        <v>27341000</v>
      </c>
      <c r="I25" s="19">
        <v>7643000</v>
      </c>
      <c r="J25" s="19">
        <f t="shared" si="0"/>
        <v>21155000</v>
      </c>
      <c r="K25" s="19">
        <v>1457000</v>
      </c>
      <c r="L25" s="19">
        <v>19698000</v>
      </c>
      <c r="M25" s="19">
        <v>18000</v>
      </c>
      <c r="N25" s="19">
        <v>6000</v>
      </c>
      <c r="O25" s="19">
        <v>27341000</v>
      </c>
      <c r="Q25" s="19">
        <v>15815000</v>
      </c>
      <c r="R25" s="19">
        <v>15815000</v>
      </c>
      <c r="S25" s="22">
        <v>46932000</v>
      </c>
      <c r="T25" s="22">
        <v>39430000</v>
      </c>
      <c r="U25" s="22">
        <v>7412000</v>
      </c>
      <c r="V25" s="22">
        <v>0</v>
      </c>
      <c r="W25" s="22">
        <v>90000</v>
      </c>
      <c r="X25" s="22">
        <v>26823000</v>
      </c>
      <c r="Y25" s="22">
        <v>5259000</v>
      </c>
      <c r="Z25" s="22">
        <v>17714000</v>
      </c>
      <c r="AA25" s="22">
        <v>0</v>
      </c>
      <c r="AB25" s="22">
        <v>3702000</v>
      </c>
      <c r="AC25" s="22">
        <v>73755000</v>
      </c>
      <c r="AP25" s="24">
        <v>19685000</v>
      </c>
      <c r="AQ25" s="24">
        <v>-2982000</v>
      </c>
      <c r="AR25" s="24">
        <v>3000</v>
      </c>
      <c r="AT25" s="24">
        <v>3004000</v>
      </c>
      <c r="AV25" s="26">
        <v>25750000</v>
      </c>
      <c r="AX25" s="27">
        <f>AY25/AV25</f>
        <v>0</v>
      </c>
      <c r="AY25" s="26">
        <v>0</v>
      </c>
      <c r="BB25" s="26">
        <f>AE25+AI25</f>
        <v>0</v>
      </c>
      <c r="BC25" s="16">
        <f>BB25-T25</f>
        <v>-39430000</v>
      </c>
    </row>
    <row r="26" spans="1:55" ht="17" x14ac:dyDescent="0.2">
      <c r="A26" s="18" t="s">
        <v>11</v>
      </c>
      <c r="B26" s="20" t="s">
        <v>55</v>
      </c>
      <c r="C26" s="21">
        <v>43796</v>
      </c>
      <c r="D26" s="20">
        <v>2019</v>
      </c>
      <c r="E26" s="20" t="s">
        <v>57</v>
      </c>
      <c r="F26" s="19">
        <v>32320000</v>
      </c>
      <c r="G26" s="19">
        <v>4226000</v>
      </c>
      <c r="H26" s="19">
        <v>28094000</v>
      </c>
      <c r="I26" s="19">
        <v>7724000</v>
      </c>
      <c r="J26" s="19">
        <f t="shared" si="0"/>
        <v>21737000</v>
      </c>
      <c r="K26" s="19">
        <v>1367000</v>
      </c>
      <c r="L26" s="19">
        <v>20370000</v>
      </c>
      <c r="M26" s="19">
        <v>15000</v>
      </c>
      <c r="N26" s="19">
        <v>3000</v>
      </c>
      <c r="O26" s="19">
        <v>28094000</v>
      </c>
      <c r="Q26" s="19">
        <v>16368000</v>
      </c>
      <c r="R26" s="19">
        <v>16368000</v>
      </c>
      <c r="S26" s="22">
        <v>32697000</v>
      </c>
      <c r="T26" s="22">
        <v>22724000</v>
      </c>
      <c r="U26" s="22">
        <v>9851000</v>
      </c>
      <c r="V26" s="22">
        <v>0</v>
      </c>
      <c r="W26" s="22">
        <v>122000</v>
      </c>
      <c r="X26" s="22">
        <v>24987000</v>
      </c>
      <c r="Y26" s="22">
        <v>5074000</v>
      </c>
      <c r="Z26" s="22">
        <v>16627000</v>
      </c>
      <c r="AA26" s="22">
        <v>0</v>
      </c>
      <c r="AB26" s="22">
        <v>3138000</v>
      </c>
      <c r="AC26" s="22">
        <v>57684000</v>
      </c>
      <c r="AP26" s="24">
        <v>17957000</v>
      </c>
      <c r="AQ26" s="24">
        <v>-2638000</v>
      </c>
      <c r="AR26" s="24">
        <v>-36311000</v>
      </c>
      <c r="AT26" s="24">
        <v>2652000</v>
      </c>
      <c r="AV26" s="26">
        <v>25750000</v>
      </c>
      <c r="AX26" s="27">
        <f>AY26/AV26</f>
        <v>1.4100194174757281</v>
      </c>
      <c r="AY26" s="26">
        <v>36308000</v>
      </c>
      <c r="BB26" s="26">
        <f>AE26+AI26</f>
        <v>0</v>
      </c>
      <c r="BC26" s="16">
        <f>BB26-T26</f>
        <v>-22724000</v>
      </c>
    </row>
    <row r="27" spans="1:55" ht="17" x14ac:dyDescent="0.2">
      <c r="A27" s="18" t="s">
        <v>11</v>
      </c>
      <c r="B27" s="20" t="s">
        <v>55</v>
      </c>
      <c r="C27" s="21">
        <v>43699</v>
      </c>
      <c r="D27" s="20">
        <v>2019</v>
      </c>
      <c r="E27" s="20" t="s">
        <v>56</v>
      </c>
      <c r="F27" s="19">
        <v>30177000</v>
      </c>
      <c r="G27" s="19">
        <v>4728000</v>
      </c>
      <c r="H27" s="19">
        <v>25449000</v>
      </c>
      <c r="I27" s="19">
        <v>7250000</v>
      </c>
      <c r="J27" s="19">
        <f t="shared" si="0"/>
        <v>19467000</v>
      </c>
      <c r="K27" s="19">
        <v>1268000</v>
      </c>
      <c r="L27" s="19">
        <v>18199000</v>
      </c>
      <c r="M27" s="19">
        <v>26000</v>
      </c>
      <c r="N27" s="19">
        <v>0</v>
      </c>
      <c r="O27" s="19">
        <v>25449000</v>
      </c>
      <c r="Q27" s="19">
        <v>14714000</v>
      </c>
      <c r="R27" s="19">
        <v>14714000</v>
      </c>
      <c r="S27" s="22">
        <v>55157000</v>
      </c>
      <c r="T27" s="22">
        <v>43715000</v>
      </c>
      <c r="U27" s="22">
        <v>11391000</v>
      </c>
      <c r="V27" s="22">
        <v>0</v>
      </c>
      <c r="W27" s="22">
        <v>51000</v>
      </c>
      <c r="X27" s="22">
        <v>20025000</v>
      </c>
      <c r="Y27" s="22">
        <v>1503000</v>
      </c>
      <c r="Z27" s="22">
        <v>15309000</v>
      </c>
      <c r="AA27" s="22">
        <v>0</v>
      </c>
      <c r="AB27" s="22">
        <v>3065000</v>
      </c>
      <c r="AC27" s="22">
        <v>75182000</v>
      </c>
      <c r="AP27" s="24">
        <v>13756000</v>
      </c>
      <c r="AQ27" s="24">
        <v>-2665000</v>
      </c>
      <c r="AR27" s="24">
        <v>0</v>
      </c>
      <c r="AT27" s="24">
        <v>2691000</v>
      </c>
      <c r="AV27" s="26">
        <v>25750000</v>
      </c>
      <c r="AX27" s="27">
        <f>AY27/AV27</f>
        <v>0</v>
      </c>
      <c r="AY27" s="26">
        <v>0</v>
      </c>
      <c r="BB27" s="26">
        <f>AE27+AI27</f>
        <v>0</v>
      </c>
      <c r="BC27" s="16">
        <f>BB27-T27</f>
        <v>-43715000</v>
      </c>
    </row>
    <row r="28" spans="1:55" ht="17" x14ac:dyDescent="0.2">
      <c r="A28" s="18" t="s">
        <v>11</v>
      </c>
      <c r="B28" s="20" t="s">
        <v>55</v>
      </c>
      <c r="C28" s="21">
        <v>43628</v>
      </c>
      <c r="D28" s="20">
        <v>2018</v>
      </c>
      <c r="E28" s="20" t="s">
        <v>59</v>
      </c>
      <c r="F28" s="19">
        <v>29424000</v>
      </c>
      <c r="G28" s="19">
        <v>4563000</v>
      </c>
      <c r="H28" s="19">
        <v>24861000</v>
      </c>
      <c r="I28" s="19">
        <v>6093000</v>
      </c>
      <c r="J28" s="19">
        <f t="shared" si="0"/>
        <v>19921000</v>
      </c>
      <c r="K28" s="19">
        <v>1153000</v>
      </c>
      <c r="L28" s="19">
        <v>18768000</v>
      </c>
      <c r="M28" s="19">
        <v>85000</v>
      </c>
      <c r="N28" s="19">
        <v>0</v>
      </c>
      <c r="O28" s="19">
        <v>24861000</v>
      </c>
      <c r="Q28" s="19">
        <v>15178000</v>
      </c>
      <c r="R28" s="19">
        <v>15178000</v>
      </c>
      <c r="S28" s="22">
        <v>42952000</v>
      </c>
      <c r="T28" s="22">
        <v>32624000</v>
      </c>
      <c r="U28" s="22">
        <v>10273000</v>
      </c>
      <c r="V28" s="22">
        <v>0</v>
      </c>
      <c r="W28" s="22">
        <v>55000</v>
      </c>
      <c r="X28" s="22">
        <v>18569000</v>
      </c>
      <c r="Y28" s="22">
        <v>1530000</v>
      </c>
      <c r="Z28" s="22">
        <v>13809000</v>
      </c>
      <c r="AA28" s="22">
        <v>0</v>
      </c>
      <c r="AB28" s="22">
        <v>3082000</v>
      </c>
      <c r="AC28" s="22">
        <v>61521000</v>
      </c>
      <c r="AP28" s="24">
        <v>14833000</v>
      </c>
      <c r="AQ28" s="24">
        <v>-2774000</v>
      </c>
      <c r="AR28" s="24">
        <v>-13905000</v>
      </c>
      <c r="AT28" s="24">
        <v>2806000</v>
      </c>
      <c r="AV28" s="26">
        <v>25750000</v>
      </c>
      <c r="AX28" s="27">
        <f>AY28/AV28</f>
        <v>0.54</v>
      </c>
      <c r="AY28" s="26">
        <v>13905000</v>
      </c>
      <c r="BB28" s="26">
        <f>AE28+AI28</f>
        <v>0</v>
      </c>
      <c r="BC28" s="16">
        <f>BB28-T28</f>
        <v>-32624000</v>
      </c>
    </row>
    <row r="29" spans="1:55" ht="17" x14ac:dyDescent="0.2">
      <c r="A29" s="18" t="s">
        <v>11</v>
      </c>
      <c r="B29" s="20" t="s">
        <v>55</v>
      </c>
      <c r="C29" s="21">
        <v>43522</v>
      </c>
      <c r="D29" s="20">
        <v>2018</v>
      </c>
      <c r="E29" s="20" t="s">
        <v>58</v>
      </c>
      <c r="F29" s="19">
        <v>27779000</v>
      </c>
      <c r="G29" s="19">
        <v>4950000</v>
      </c>
      <c r="H29" s="19">
        <v>22829000</v>
      </c>
      <c r="I29" s="19">
        <v>5863000</v>
      </c>
      <c r="J29" s="19">
        <f t="shared" si="0"/>
        <v>17929000</v>
      </c>
      <c r="K29" s="19">
        <v>963000</v>
      </c>
      <c r="L29" s="19">
        <v>16966000</v>
      </c>
      <c r="M29" s="19">
        <v>40000</v>
      </c>
      <c r="N29" s="19">
        <v>0</v>
      </c>
      <c r="O29" s="19">
        <v>22829000</v>
      </c>
      <c r="Q29" s="19">
        <v>13740000</v>
      </c>
      <c r="R29" s="19">
        <v>13740000</v>
      </c>
      <c r="S29" s="22">
        <v>42940000</v>
      </c>
      <c r="T29" s="22">
        <v>34470000</v>
      </c>
      <c r="U29" s="22">
        <v>8418000</v>
      </c>
      <c r="V29" s="22">
        <v>0</v>
      </c>
      <c r="W29" s="22">
        <v>52000</v>
      </c>
      <c r="X29" s="22">
        <v>16861000</v>
      </c>
      <c r="Y29" s="22">
        <v>1519000</v>
      </c>
      <c r="Z29" s="22">
        <v>12628000</v>
      </c>
      <c r="AA29" s="22">
        <v>0</v>
      </c>
      <c r="AB29" s="22">
        <v>2560000</v>
      </c>
      <c r="AC29" s="22">
        <v>59801000</v>
      </c>
      <c r="AP29" s="24">
        <v>17597000</v>
      </c>
      <c r="AQ29" s="24">
        <v>-2930000</v>
      </c>
      <c r="AR29" s="24">
        <v>0</v>
      </c>
      <c r="AT29" s="24">
        <v>2975000</v>
      </c>
      <c r="AV29" s="26">
        <v>25750000</v>
      </c>
      <c r="AX29" s="27">
        <f>AY29/AV29</f>
        <v>0</v>
      </c>
      <c r="AY29" s="26">
        <v>0</v>
      </c>
      <c r="BB29" s="26">
        <f>AE29+AI29</f>
        <v>0</v>
      </c>
      <c r="BC29" s="16">
        <f>BB29-T29</f>
        <v>-34470000</v>
      </c>
    </row>
    <row r="30" spans="1:55" ht="17" x14ac:dyDescent="0.2">
      <c r="A30" s="18" t="s">
        <v>11</v>
      </c>
      <c r="B30" s="20" t="s">
        <v>55</v>
      </c>
      <c r="C30" s="21">
        <v>43431</v>
      </c>
      <c r="D30" s="20">
        <v>2018</v>
      </c>
      <c r="E30" s="20" t="s">
        <v>57</v>
      </c>
      <c r="F30" s="19">
        <v>26581000</v>
      </c>
      <c r="G30" s="19">
        <v>4419000</v>
      </c>
      <c r="H30" s="19">
        <v>22162000</v>
      </c>
      <c r="I30" s="19">
        <v>4736000</v>
      </c>
      <c r="J30" s="19">
        <f t="shared" si="0"/>
        <v>18299000</v>
      </c>
      <c r="K30" s="19">
        <v>873000</v>
      </c>
      <c r="L30" s="19">
        <v>17426000</v>
      </c>
      <c r="M30" s="19">
        <v>36000</v>
      </c>
      <c r="N30" s="19">
        <v>0</v>
      </c>
      <c r="O30" s="19">
        <v>22162000</v>
      </c>
      <c r="Q30" s="19">
        <v>14102000</v>
      </c>
      <c r="R30" s="19">
        <v>14102000</v>
      </c>
      <c r="S30" s="22">
        <v>28316000</v>
      </c>
      <c r="T30" s="22">
        <v>19804000</v>
      </c>
      <c r="U30" s="22">
        <v>8412000</v>
      </c>
      <c r="V30" s="22">
        <v>0</v>
      </c>
      <c r="W30" s="22">
        <v>100000</v>
      </c>
      <c r="X30" s="22">
        <v>15141000</v>
      </c>
      <c r="Y30" s="22">
        <v>1228000</v>
      </c>
      <c r="Z30" s="22">
        <v>9661000</v>
      </c>
      <c r="AA30" s="22">
        <v>0</v>
      </c>
      <c r="AB30" s="22">
        <v>4084000</v>
      </c>
      <c r="AC30" s="22">
        <v>43457000</v>
      </c>
      <c r="AP30" s="24">
        <v>14077000</v>
      </c>
      <c r="AQ30" s="24">
        <v>-3357000</v>
      </c>
      <c r="AR30" s="24">
        <v>-34248000</v>
      </c>
      <c r="AT30" s="24">
        <v>3442000</v>
      </c>
      <c r="AV30" s="26">
        <v>25750000</v>
      </c>
      <c r="AX30" s="27">
        <f>AY30/AV30</f>
        <v>1.330019417475728</v>
      </c>
      <c r="AY30" s="26">
        <v>34248000</v>
      </c>
      <c r="BB30" s="26">
        <f>AE30+AI30</f>
        <v>0</v>
      </c>
      <c r="BC30" s="16">
        <f>BB30-T30</f>
        <v>-19804000</v>
      </c>
    </row>
    <row r="31" spans="1:55" ht="17" x14ac:dyDescent="0.2">
      <c r="A31" s="18" t="s">
        <v>11</v>
      </c>
      <c r="B31" s="20" t="s">
        <v>55</v>
      </c>
      <c r="C31" s="21">
        <v>43705</v>
      </c>
      <c r="D31" s="20">
        <v>2018</v>
      </c>
      <c r="E31" s="20" t="s">
        <v>56</v>
      </c>
      <c r="F31" s="19">
        <v>25515000</v>
      </c>
      <c r="G31" s="19">
        <v>4007000</v>
      </c>
      <c r="H31" s="19">
        <v>21508000</v>
      </c>
      <c r="I31" s="19">
        <v>3892000</v>
      </c>
      <c r="J31" s="19">
        <f t="shared" si="0"/>
        <v>18377000</v>
      </c>
      <c r="K31" s="19">
        <v>761000</v>
      </c>
      <c r="L31" s="19">
        <v>17616000</v>
      </c>
      <c r="M31" s="19">
        <v>49000</v>
      </c>
      <c r="N31" s="19">
        <v>0</v>
      </c>
      <c r="O31" s="19">
        <v>21508000</v>
      </c>
      <c r="Q31" s="19">
        <v>14226000</v>
      </c>
      <c r="R31" s="19">
        <v>14226000</v>
      </c>
      <c r="S31" s="22">
        <v>51500000</v>
      </c>
      <c r="T31" s="22">
        <v>43331000</v>
      </c>
      <c r="U31" s="22">
        <v>8124000</v>
      </c>
      <c r="V31" s="22">
        <v>0</v>
      </c>
      <c r="W31" s="22">
        <v>45000</v>
      </c>
      <c r="X31" s="22">
        <v>12191000</v>
      </c>
      <c r="Y31" s="22">
        <v>1278000</v>
      </c>
      <c r="Z31" s="22">
        <v>8957000</v>
      </c>
      <c r="AA31" s="22">
        <v>0</v>
      </c>
      <c r="AB31" s="22">
        <v>1788000</v>
      </c>
      <c r="AC31" s="22">
        <v>63691000</v>
      </c>
      <c r="AP31" s="24">
        <v>14682000</v>
      </c>
      <c r="AQ31" s="24">
        <v>-1485000</v>
      </c>
      <c r="AR31" s="24">
        <v>0</v>
      </c>
      <c r="AT31" s="24">
        <v>1485000</v>
      </c>
      <c r="AV31" s="26">
        <v>25750000</v>
      </c>
      <c r="AX31" s="27">
        <f>AY31/AV31</f>
        <v>0</v>
      </c>
      <c r="AY31" s="26">
        <v>0</v>
      </c>
      <c r="BB31" s="26">
        <f>AE31+AI31</f>
        <v>0</v>
      </c>
      <c r="BC31" s="16">
        <f>BB31-T31</f>
        <v>-43331000</v>
      </c>
    </row>
    <row r="32" spans="1:55" ht="17" x14ac:dyDescent="0.2">
      <c r="A32" s="18" t="s">
        <v>11</v>
      </c>
      <c r="B32" s="20" t="s">
        <v>55</v>
      </c>
      <c r="C32" s="21">
        <v>43629</v>
      </c>
      <c r="D32" s="20">
        <v>2017</v>
      </c>
      <c r="E32" s="20" t="s">
        <v>59</v>
      </c>
      <c r="F32" s="19">
        <v>22982000</v>
      </c>
      <c r="G32" s="19">
        <v>3499000</v>
      </c>
      <c r="H32" s="19">
        <v>19483000</v>
      </c>
      <c r="I32" s="19">
        <v>3501000</v>
      </c>
      <c r="J32" s="19">
        <f t="shared" si="0"/>
        <v>16082000</v>
      </c>
      <c r="K32" s="19">
        <v>100000</v>
      </c>
      <c r="L32" s="19">
        <v>15982000</v>
      </c>
      <c r="M32" s="19">
        <v>37000</v>
      </c>
      <c r="N32" s="19">
        <v>139000</v>
      </c>
      <c r="O32" s="19">
        <v>19483000</v>
      </c>
      <c r="Q32" s="19">
        <v>12802000</v>
      </c>
      <c r="R32" s="19">
        <v>12802000</v>
      </c>
      <c r="S32" s="22">
        <v>37205000</v>
      </c>
      <c r="T32" s="22">
        <v>30134000</v>
      </c>
      <c r="U32" s="22">
        <v>6912000</v>
      </c>
      <c r="V32" s="22">
        <v>0</v>
      </c>
      <c r="W32" s="22">
        <v>159000</v>
      </c>
      <c r="X32" s="22">
        <v>11439000</v>
      </c>
      <c r="Y32" s="22">
        <v>1231000</v>
      </c>
      <c r="Z32" s="22">
        <v>8463000</v>
      </c>
      <c r="AA32" s="22">
        <v>0</v>
      </c>
      <c r="AB32" s="22">
        <v>1557000</v>
      </c>
      <c r="AC32" s="22">
        <v>48644000</v>
      </c>
      <c r="AP32" s="24">
        <v>12158000</v>
      </c>
      <c r="AQ32" s="24">
        <v>-1335000</v>
      </c>
      <c r="AR32" s="24">
        <v>-11330000</v>
      </c>
      <c r="AT32" s="24">
        <v>1370000</v>
      </c>
      <c r="AV32" s="26">
        <v>25750000</v>
      </c>
      <c r="AX32" s="27">
        <f>AY32/AV32</f>
        <v>0.44</v>
      </c>
      <c r="AY32" s="26">
        <v>11330000</v>
      </c>
      <c r="BB32" s="26">
        <f>AE32+AI32</f>
        <v>0</v>
      </c>
      <c r="BC32" s="16">
        <f>BB32-T32</f>
        <v>-30134000</v>
      </c>
    </row>
    <row r="33" spans="1:55" ht="17" x14ac:dyDescent="0.2">
      <c r="A33" s="18" t="s">
        <v>11</v>
      </c>
      <c r="B33" s="20" t="s">
        <v>55</v>
      </c>
      <c r="C33" s="21">
        <v>43524</v>
      </c>
      <c r="D33" s="20">
        <v>2017</v>
      </c>
      <c r="E33" s="20" t="s">
        <v>58</v>
      </c>
      <c r="F33" s="19">
        <v>22830000</v>
      </c>
      <c r="G33" s="19">
        <v>3737000</v>
      </c>
      <c r="H33" s="19">
        <v>19093000</v>
      </c>
      <c r="I33" s="19">
        <v>3689000</v>
      </c>
      <c r="J33" s="19">
        <f t="shared" si="0"/>
        <v>16041000</v>
      </c>
      <c r="K33" s="19">
        <v>637000</v>
      </c>
      <c r="L33" s="19">
        <v>15404000</v>
      </c>
      <c r="M33" s="19">
        <v>35000</v>
      </c>
      <c r="N33" s="19">
        <v>19000</v>
      </c>
      <c r="O33" s="19">
        <v>19093000</v>
      </c>
      <c r="Q33" s="19">
        <v>12407000</v>
      </c>
      <c r="R33" s="19">
        <v>12407000</v>
      </c>
      <c r="S33" s="22">
        <v>37364000</v>
      </c>
      <c r="T33" s="22">
        <v>30641000</v>
      </c>
      <c r="U33" s="22">
        <v>6418000</v>
      </c>
      <c r="V33" s="22">
        <v>0</v>
      </c>
      <c r="W33" s="22">
        <v>305000</v>
      </c>
      <c r="X33" s="22">
        <v>10200000</v>
      </c>
      <c r="Y33" s="22">
        <v>755000</v>
      </c>
      <c r="Z33" s="22">
        <v>7474000</v>
      </c>
      <c r="AA33" s="22">
        <v>0</v>
      </c>
      <c r="AB33" s="22">
        <v>1931000</v>
      </c>
      <c r="AC33" s="22">
        <v>47564000</v>
      </c>
      <c r="AP33" s="24">
        <v>13666000</v>
      </c>
      <c r="AQ33" s="24">
        <v>-1542000</v>
      </c>
      <c r="AR33" s="24">
        <v>0</v>
      </c>
      <c r="AT33" s="24">
        <v>1579000</v>
      </c>
      <c r="AV33" s="26">
        <v>25750000</v>
      </c>
      <c r="AX33" s="27">
        <f>AY33/AV33</f>
        <v>0</v>
      </c>
      <c r="AY33" s="26">
        <v>0</v>
      </c>
      <c r="BB33" s="26">
        <f>AE33+AI33</f>
        <v>0</v>
      </c>
      <c r="BC33" s="16">
        <f>BB33-T33</f>
        <v>-30641000</v>
      </c>
    </row>
    <row r="34" spans="1:55" ht="17" x14ac:dyDescent="0.2">
      <c r="A34" s="18" t="s">
        <v>11</v>
      </c>
      <c r="B34" s="20" t="s">
        <v>55</v>
      </c>
      <c r="C34" s="21">
        <v>43431</v>
      </c>
      <c r="D34" s="20">
        <v>2017</v>
      </c>
      <c r="E34" s="20" t="s">
        <v>57</v>
      </c>
      <c r="F34" s="19">
        <v>22029000</v>
      </c>
      <c r="G34" s="19">
        <v>2557000</v>
      </c>
      <c r="H34" s="19">
        <v>19472000</v>
      </c>
      <c r="I34" s="19">
        <v>3237000</v>
      </c>
      <c r="J34" s="19">
        <f t="shared" si="0"/>
        <v>16826000</v>
      </c>
      <c r="K34" s="19">
        <v>591000</v>
      </c>
      <c r="L34" s="19">
        <v>16235000</v>
      </c>
      <c r="M34" s="19">
        <v>33000</v>
      </c>
      <c r="N34" s="19">
        <v>1356000</v>
      </c>
      <c r="O34" s="19">
        <v>19472000</v>
      </c>
      <c r="Q34" s="19">
        <v>12022000</v>
      </c>
      <c r="R34" s="19">
        <v>12022000</v>
      </c>
      <c r="S34" s="22">
        <v>24962000</v>
      </c>
      <c r="T34" s="22">
        <v>18518000</v>
      </c>
      <c r="U34" s="22">
        <v>6031000</v>
      </c>
      <c r="V34" s="22">
        <v>0</v>
      </c>
      <c r="W34" s="22">
        <v>413000</v>
      </c>
      <c r="X34" s="22">
        <v>9245000</v>
      </c>
      <c r="Y34" s="22">
        <v>655000</v>
      </c>
      <c r="Z34" s="22">
        <v>7049000</v>
      </c>
      <c r="AA34" s="22">
        <v>0</v>
      </c>
      <c r="AB34" s="22">
        <v>1501000</v>
      </c>
      <c r="AC34" s="22">
        <v>34207000</v>
      </c>
      <c r="AP34" s="24">
        <v>11718000</v>
      </c>
      <c r="AQ34" s="24">
        <v>-1095000</v>
      </c>
      <c r="AR34" s="24">
        <v>-36308000</v>
      </c>
      <c r="AT34" s="24">
        <v>1154000</v>
      </c>
      <c r="AV34" s="26">
        <v>25750000</v>
      </c>
      <c r="AX34" s="27">
        <f>AY34/AV34</f>
        <v>1.4100194174757281</v>
      </c>
      <c r="AY34" s="26">
        <v>36308000</v>
      </c>
      <c r="BB34" s="26">
        <f>AE34+AI34</f>
        <v>0</v>
      </c>
      <c r="BC34" s="16">
        <f>BB34-T34</f>
        <v>-18518000</v>
      </c>
    </row>
    <row r="35" spans="1:55" ht="17" x14ac:dyDescent="0.2">
      <c r="A35" s="18" t="s">
        <v>11</v>
      </c>
      <c r="B35" s="20" t="s">
        <v>55</v>
      </c>
      <c r="C35" s="21">
        <v>43340</v>
      </c>
      <c r="D35" s="20">
        <v>2017</v>
      </c>
      <c r="E35" s="20" t="s">
        <v>56</v>
      </c>
      <c r="F35" s="19">
        <v>21585000</v>
      </c>
      <c r="G35" s="19">
        <v>4557000</v>
      </c>
      <c r="H35" s="19">
        <v>17028000</v>
      </c>
      <c r="I35" s="19">
        <v>3287000</v>
      </c>
      <c r="J35" s="19">
        <f t="shared" si="0"/>
        <v>14291000</v>
      </c>
      <c r="K35" s="19">
        <v>550000</v>
      </c>
      <c r="L35" s="19">
        <v>13741000</v>
      </c>
      <c r="M35" s="19">
        <v>27000</v>
      </c>
      <c r="N35" s="19">
        <v>0</v>
      </c>
      <c r="O35" s="19">
        <v>17028000</v>
      </c>
      <c r="Q35" s="19">
        <v>11074000</v>
      </c>
      <c r="R35" s="19">
        <v>11074000</v>
      </c>
      <c r="S35" s="22">
        <v>49436000</v>
      </c>
      <c r="T35" s="22">
        <v>44202000</v>
      </c>
      <c r="U35" s="22">
        <v>5150000</v>
      </c>
      <c r="V35" s="22">
        <v>0</v>
      </c>
      <c r="W35" s="22">
        <v>84000</v>
      </c>
      <c r="X35" s="22">
        <v>8694000</v>
      </c>
      <c r="Y35" s="22">
        <v>621000</v>
      </c>
      <c r="Z35" s="22">
        <v>6643000</v>
      </c>
      <c r="AA35" s="22">
        <v>0</v>
      </c>
      <c r="AB35" s="22">
        <v>1390000</v>
      </c>
      <c r="AC35" s="22">
        <v>58130000</v>
      </c>
      <c r="AP35" s="24">
        <v>10636000</v>
      </c>
      <c r="AQ35" s="24">
        <v>-1184000</v>
      </c>
      <c r="AR35" s="24">
        <v>0</v>
      </c>
      <c r="AT35" s="24">
        <v>1184000</v>
      </c>
      <c r="AV35" s="26">
        <v>25750000</v>
      </c>
      <c r="AX35" s="27">
        <f>AY35/AV35</f>
        <v>0</v>
      </c>
      <c r="AY35" s="26">
        <v>0</v>
      </c>
      <c r="BB35" s="26">
        <f>AE35+AI35</f>
        <v>0</v>
      </c>
      <c r="BC35" s="16">
        <f>BB35-T35</f>
        <v>-44202000</v>
      </c>
    </row>
    <row r="36" spans="1:55" ht="17" x14ac:dyDescent="0.2">
      <c r="A36" s="18" t="s">
        <v>11</v>
      </c>
      <c r="B36" s="20" t="s">
        <v>55</v>
      </c>
      <c r="C36" s="21">
        <v>43264</v>
      </c>
      <c r="D36" s="20">
        <v>2016</v>
      </c>
      <c r="E36" s="20" t="s">
        <v>59</v>
      </c>
      <c r="F36" s="19">
        <v>21533000</v>
      </c>
      <c r="G36" s="19">
        <v>3516000</v>
      </c>
      <c r="H36" s="19">
        <v>18017000</v>
      </c>
      <c r="I36" s="19">
        <v>3043000</v>
      </c>
      <c r="J36" s="19">
        <f t="shared" si="0"/>
        <v>15474000</v>
      </c>
      <c r="K36" s="19">
        <v>500000</v>
      </c>
      <c r="L36" s="19">
        <v>14974000</v>
      </c>
      <c r="M36" s="19">
        <v>15000</v>
      </c>
      <c r="N36" s="19">
        <v>0</v>
      </c>
      <c r="O36" s="19">
        <v>18017000</v>
      </c>
      <c r="Q36" s="19">
        <v>12037000</v>
      </c>
      <c r="R36" s="19">
        <v>12037000</v>
      </c>
      <c r="S36" s="22">
        <v>39471000</v>
      </c>
      <c r="T36" s="22">
        <v>34750000</v>
      </c>
      <c r="U36" s="22">
        <v>4510000</v>
      </c>
      <c r="V36" s="22">
        <v>0</v>
      </c>
      <c r="W36" s="22">
        <v>211000</v>
      </c>
      <c r="X36" s="22">
        <v>8062000</v>
      </c>
      <c r="Y36" s="22">
        <v>572000</v>
      </c>
      <c r="Z36" s="22">
        <v>6059000</v>
      </c>
      <c r="AA36" s="22">
        <v>0</v>
      </c>
      <c r="AB36" s="22">
        <v>1391000</v>
      </c>
      <c r="AC36" s="22">
        <v>47533000</v>
      </c>
      <c r="AP36" s="24">
        <v>12999000</v>
      </c>
      <c r="AQ36" s="24">
        <v>-2137000</v>
      </c>
      <c r="AR36" s="24">
        <v>0</v>
      </c>
      <c r="AT36" s="24">
        <v>2153000</v>
      </c>
      <c r="AV36" s="26">
        <v>25750000</v>
      </c>
      <c r="AX36" s="27">
        <f>AY36/AV36</f>
        <v>0</v>
      </c>
      <c r="AY36" s="26">
        <v>0</v>
      </c>
      <c r="BB36" s="26">
        <f>AE36+AI36</f>
        <v>0</v>
      </c>
      <c r="BC36" s="16">
        <f>BB36-T36</f>
        <v>-34750000</v>
      </c>
    </row>
    <row r="37" spans="1:55" ht="17" x14ac:dyDescent="0.2">
      <c r="A37" s="18" t="s">
        <v>11</v>
      </c>
      <c r="B37" s="20" t="s">
        <v>55</v>
      </c>
      <c r="C37" s="21">
        <v>43159</v>
      </c>
      <c r="D37" s="20">
        <v>2016</v>
      </c>
      <c r="E37" s="20" t="s">
        <v>58</v>
      </c>
      <c r="F37" s="19">
        <v>20173000</v>
      </c>
      <c r="G37" s="19">
        <v>2425000</v>
      </c>
      <c r="H37" s="19">
        <v>17748000</v>
      </c>
      <c r="I37" s="19">
        <v>2779000</v>
      </c>
      <c r="J37" s="19">
        <f t="shared" si="0"/>
        <v>15410000</v>
      </c>
      <c r="K37" s="19">
        <v>441000</v>
      </c>
      <c r="L37" s="19">
        <v>14969000</v>
      </c>
      <c r="M37" s="19">
        <v>9000</v>
      </c>
      <c r="N37" s="19">
        <v>5000</v>
      </c>
      <c r="O37" s="19">
        <v>17748000</v>
      </c>
      <c r="Q37" s="19">
        <v>12049000</v>
      </c>
      <c r="R37" s="19">
        <v>12049000</v>
      </c>
      <c r="S37" s="22">
        <v>28251000</v>
      </c>
      <c r="T37" s="22">
        <v>23888000</v>
      </c>
      <c r="U37" s="22">
        <v>4326000</v>
      </c>
      <c r="V37" s="22">
        <v>0</v>
      </c>
      <c r="W37" s="22">
        <v>37000</v>
      </c>
      <c r="X37" s="22">
        <v>7510000</v>
      </c>
      <c r="Y37" s="22">
        <v>580000</v>
      </c>
      <c r="Z37" s="22">
        <v>4411000</v>
      </c>
      <c r="AA37" s="22">
        <v>0</v>
      </c>
      <c r="AB37" s="22">
        <v>2479000</v>
      </c>
      <c r="AC37" s="22">
        <v>35761000</v>
      </c>
      <c r="AP37" s="24">
        <v>11297000</v>
      </c>
      <c r="AQ37" s="24">
        <v>-63000</v>
      </c>
      <c r="AR37" s="24">
        <v>0</v>
      </c>
      <c r="AT37" s="24">
        <v>67000</v>
      </c>
      <c r="AV37" s="26">
        <v>25750000</v>
      </c>
      <c r="AX37" s="27">
        <f>AY37/AV37</f>
        <v>0</v>
      </c>
      <c r="AY37" s="26">
        <v>0</v>
      </c>
      <c r="BB37" s="26">
        <f>AE37+AI37</f>
        <v>0</v>
      </c>
      <c r="BC37" s="16">
        <f>BB37-T37</f>
        <v>-23888000</v>
      </c>
    </row>
    <row r="38" spans="1:55" ht="17" x14ac:dyDescent="0.2">
      <c r="A38" s="18" t="s">
        <v>11</v>
      </c>
      <c r="B38" s="20" t="s">
        <v>55</v>
      </c>
      <c r="C38" s="21">
        <v>43068</v>
      </c>
      <c r="D38" s="20">
        <v>2016</v>
      </c>
      <c r="E38" s="20" t="s">
        <v>57</v>
      </c>
      <c r="F38" s="19">
        <v>17966000</v>
      </c>
      <c r="G38" s="19">
        <v>3049000</v>
      </c>
      <c r="H38" s="19">
        <v>14917000</v>
      </c>
      <c r="I38" s="19">
        <v>2752000</v>
      </c>
      <c r="J38" s="19">
        <f t="shared" si="0"/>
        <v>12563000</v>
      </c>
      <c r="K38" s="19">
        <v>398000</v>
      </c>
      <c r="L38" s="19">
        <v>12165000</v>
      </c>
      <c r="M38" s="19">
        <v>20000</v>
      </c>
      <c r="N38" s="19">
        <v>0</v>
      </c>
      <c r="O38" s="19">
        <v>14917000</v>
      </c>
      <c r="Q38" s="19">
        <v>9742000</v>
      </c>
      <c r="R38" s="19">
        <v>9742000</v>
      </c>
      <c r="S38" s="22">
        <v>16588000</v>
      </c>
      <c r="T38" s="22">
        <v>12653000</v>
      </c>
      <c r="U38" s="22">
        <v>3890000</v>
      </c>
      <c r="V38" s="22">
        <v>0</v>
      </c>
      <c r="W38" s="22">
        <v>45000</v>
      </c>
      <c r="X38" s="22">
        <v>6947000</v>
      </c>
      <c r="Y38" s="22">
        <v>574000</v>
      </c>
      <c r="Z38" s="22">
        <v>4779000</v>
      </c>
      <c r="AA38" s="22">
        <v>0</v>
      </c>
      <c r="AB38" s="22">
        <v>1554000</v>
      </c>
      <c r="AC38" s="22">
        <v>23535000</v>
      </c>
      <c r="AP38" s="24">
        <v>9283000</v>
      </c>
      <c r="AQ38" s="24">
        <v>-725000</v>
      </c>
      <c r="AR38" s="24">
        <v>-27810000</v>
      </c>
      <c r="AT38" s="24">
        <v>824000</v>
      </c>
      <c r="AV38" s="26">
        <v>25750000</v>
      </c>
      <c r="AX38" s="27">
        <f>AY38/AV38</f>
        <v>1.08</v>
      </c>
      <c r="AY38" s="26">
        <v>27810000</v>
      </c>
      <c r="BB38" s="26">
        <f>AE38+AI38</f>
        <v>0</v>
      </c>
      <c r="BC38" s="16">
        <f>BB38-T38</f>
        <v>-12653000</v>
      </c>
    </row>
    <row r="39" spans="1:55" ht="17" x14ac:dyDescent="0.2">
      <c r="A39" s="18" t="s">
        <v>11</v>
      </c>
      <c r="B39" s="20" t="s">
        <v>55</v>
      </c>
      <c r="C39" s="21">
        <v>42977</v>
      </c>
      <c r="D39" s="20">
        <v>2016</v>
      </c>
      <c r="E39" s="20" t="s">
        <v>56</v>
      </c>
      <c r="F39" s="19">
        <v>16582000</v>
      </c>
      <c r="G39" s="19">
        <v>2759000</v>
      </c>
      <c r="H39" s="19">
        <v>13823000</v>
      </c>
      <c r="I39" s="19">
        <v>2582000</v>
      </c>
      <c r="J39" s="19">
        <f t="shared" si="0"/>
        <v>11595000</v>
      </c>
      <c r="K39" s="19">
        <v>354000</v>
      </c>
      <c r="L39" s="19">
        <v>11241000</v>
      </c>
      <c r="M39" s="19">
        <v>81000</v>
      </c>
      <c r="N39" s="19">
        <v>2000</v>
      </c>
      <c r="O39" s="19">
        <v>13823000</v>
      </c>
      <c r="Q39" s="19">
        <v>9089000</v>
      </c>
      <c r="R39" s="19">
        <v>9089000</v>
      </c>
      <c r="S39" s="22">
        <v>35345000</v>
      </c>
      <c r="T39" s="22">
        <v>31907000</v>
      </c>
      <c r="U39" s="22">
        <v>3436000</v>
      </c>
      <c r="V39" s="22">
        <v>0</v>
      </c>
      <c r="W39" s="22">
        <v>2000</v>
      </c>
      <c r="X39" s="22">
        <v>6090000</v>
      </c>
      <c r="Y39" s="22">
        <v>588000</v>
      </c>
      <c r="Z39" s="22">
        <v>4308000</v>
      </c>
      <c r="AA39" s="22">
        <v>0</v>
      </c>
      <c r="AB39" s="22">
        <v>1154000</v>
      </c>
      <c r="AC39" s="22">
        <v>41435000</v>
      </c>
      <c r="AP39" s="24">
        <v>9626000</v>
      </c>
      <c r="AQ39" s="24">
        <v>-934000</v>
      </c>
      <c r="AR39" s="24">
        <v>0</v>
      </c>
      <c r="AT39" s="24">
        <v>934000</v>
      </c>
      <c r="AV39" s="26">
        <v>25750000</v>
      </c>
      <c r="AX39" s="27">
        <f>AY39/AV39</f>
        <v>0</v>
      </c>
      <c r="AY39" s="26">
        <v>0</v>
      </c>
      <c r="BB39" s="26">
        <f>AE39+AI39</f>
        <v>0</v>
      </c>
      <c r="BC39" s="16">
        <f>BB39-T39</f>
        <v>-31907000</v>
      </c>
    </row>
    <row r="40" spans="1:55" ht="17" x14ac:dyDescent="0.2">
      <c r="A40" s="18" t="s">
        <v>11</v>
      </c>
      <c r="B40" s="20" t="s">
        <v>55</v>
      </c>
      <c r="C40" s="21">
        <v>42886</v>
      </c>
      <c r="D40" s="20">
        <v>2015</v>
      </c>
      <c r="E40" s="20" t="s">
        <v>59</v>
      </c>
      <c r="F40" s="19">
        <v>15607000</v>
      </c>
      <c r="G40" s="19">
        <v>2867000</v>
      </c>
      <c r="H40" s="19">
        <v>12740000</v>
      </c>
      <c r="I40" s="19">
        <v>3020000</v>
      </c>
      <c r="J40" s="19">
        <f t="shared" si="0"/>
        <v>10050000</v>
      </c>
      <c r="K40" s="19">
        <v>330000</v>
      </c>
      <c r="L40" s="19">
        <v>9720000</v>
      </c>
      <c r="M40" s="19">
        <v>-61000</v>
      </c>
      <c r="N40" s="19">
        <v>-564000</v>
      </c>
      <c r="O40" s="19">
        <v>12740000</v>
      </c>
      <c r="Q40" s="19">
        <v>8110000</v>
      </c>
      <c r="R40" s="19">
        <v>8110000</v>
      </c>
      <c r="S40" s="22">
        <v>26524000</v>
      </c>
      <c r="T40" s="22">
        <v>23214000</v>
      </c>
      <c r="U40" s="22">
        <v>3271000</v>
      </c>
      <c r="V40" s="22">
        <v>0</v>
      </c>
      <c r="W40" s="22">
        <v>39000</v>
      </c>
      <c r="X40" s="22">
        <v>5552000</v>
      </c>
      <c r="Y40" s="22">
        <v>568000</v>
      </c>
      <c r="Z40" s="22">
        <v>3778000</v>
      </c>
      <c r="AA40" s="22">
        <v>0</v>
      </c>
      <c r="AB40" s="22">
        <v>1153000</v>
      </c>
      <c r="AC40" s="22">
        <v>32076000</v>
      </c>
      <c r="AP40" s="24">
        <v>6655000</v>
      </c>
      <c r="AQ40" s="24">
        <v>-297000</v>
      </c>
      <c r="AR40" s="24">
        <v>0</v>
      </c>
      <c r="AT40" s="24">
        <v>297000</v>
      </c>
      <c r="AV40" s="26">
        <v>25750000</v>
      </c>
      <c r="AX40" s="27">
        <f>AY40/AV40</f>
        <v>0</v>
      </c>
      <c r="AY40" s="26">
        <v>0</v>
      </c>
      <c r="BB40" s="26">
        <f>AE40+AI40</f>
        <v>0</v>
      </c>
      <c r="BC40" s="16">
        <f>BB40-T40</f>
        <v>-23214000</v>
      </c>
    </row>
    <row r="41" spans="1:55" ht="17" x14ac:dyDescent="0.2">
      <c r="A41" s="18" t="s">
        <v>11</v>
      </c>
      <c r="B41" s="20" t="s">
        <v>55</v>
      </c>
      <c r="C41" s="21">
        <v>42795</v>
      </c>
      <c r="D41" s="20">
        <v>2015</v>
      </c>
      <c r="E41" s="20" t="s">
        <v>58</v>
      </c>
      <c r="F41" s="19">
        <v>13747000</v>
      </c>
      <c r="G41" s="19">
        <v>2147000</v>
      </c>
      <c r="H41" s="19">
        <v>11600000</v>
      </c>
      <c r="I41" s="19">
        <v>2135000</v>
      </c>
      <c r="J41" s="19">
        <f t="shared" si="0"/>
        <v>9785000</v>
      </c>
      <c r="K41" s="19">
        <v>320000</v>
      </c>
      <c r="L41" s="19">
        <v>9465000</v>
      </c>
      <c r="M41" s="19">
        <v>135000</v>
      </c>
      <c r="N41" s="19">
        <v>608000</v>
      </c>
      <c r="O41" s="19">
        <v>11600000</v>
      </c>
      <c r="Q41" s="19">
        <v>7251000</v>
      </c>
      <c r="R41" s="19">
        <v>7251000</v>
      </c>
      <c r="S41" s="22">
        <v>19780000</v>
      </c>
      <c r="T41" s="22">
        <v>16853000</v>
      </c>
      <c r="U41" s="22">
        <v>2834000</v>
      </c>
      <c r="V41" s="22">
        <v>0</v>
      </c>
      <c r="W41" s="22">
        <v>93000</v>
      </c>
      <c r="X41" s="22">
        <v>4893000</v>
      </c>
      <c r="Y41" s="22">
        <v>524000</v>
      </c>
      <c r="Z41" s="22">
        <v>3441000</v>
      </c>
      <c r="AA41" s="22">
        <v>0</v>
      </c>
      <c r="AB41" s="22">
        <v>928000</v>
      </c>
      <c r="AC41" s="22">
        <v>24673000</v>
      </c>
      <c r="AP41" s="24">
        <v>8538000</v>
      </c>
      <c r="AQ41" s="24">
        <v>-707000</v>
      </c>
      <c r="AR41" s="24">
        <v>0</v>
      </c>
      <c r="AT41" s="24">
        <v>707000</v>
      </c>
      <c r="AV41" s="26">
        <v>25750000</v>
      </c>
      <c r="AX41" s="27">
        <f>AY41/AV41</f>
        <v>0</v>
      </c>
      <c r="AY41" s="26">
        <v>0</v>
      </c>
      <c r="BB41" s="26">
        <f>AE41+AI41</f>
        <v>0</v>
      </c>
      <c r="BC41" s="16">
        <f>BB41-T41</f>
        <v>-16853000</v>
      </c>
    </row>
    <row r="42" spans="1:55" ht="17" x14ac:dyDescent="0.2">
      <c r="A42" s="18" t="s">
        <v>11</v>
      </c>
      <c r="B42" s="20" t="s">
        <v>55</v>
      </c>
      <c r="C42" s="21">
        <v>42704</v>
      </c>
      <c r="D42" s="20">
        <v>2015</v>
      </c>
      <c r="E42" s="20" t="s">
        <v>57</v>
      </c>
      <c r="F42" s="19">
        <v>12440000</v>
      </c>
      <c r="G42" s="19">
        <v>1952000</v>
      </c>
      <c r="H42" s="19">
        <v>10488000</v>
      </c>
      <c r="I42" s="19">
        <v>2305000</v>
      </c>
      <c r="J42" s="19">
        <f t="shared" si="0"/>
        <v>8466000</v>
      </c>
      <c r="K42" s="19">
        <v>283000</v>
      </c>
      <c r="L42" s="19">
        <v>8183000</v>
      </c>
      <c r="M42" s="19">
        <v>24000</v>
      </c>
      <c r="N42" s="19">
        <v>-309000</v>
      </c>
      <c r="O42" s="19">
        <v>10488000</v>
      </c>
      <c r="Q42" s="19">
        <v>6823000</v>
      </c>
      <c r="R42" s="19">
        <v>6823000</v>
      </c>
      <c r="S42" s="22">
        <v>11898000</v>
      </c>
      <c r="T42" s="22">
        <v>9021000</v>
      </c>
      <c r="U42" s="22">
        <v>2695000</v>
      </c>
      <c r="V42" s="22">
        <v>0</v>
      </c>
      <c r="W42" s="22">
        <v>182000</v>
      </c>
      <c r="X42" s="22">
        <v>4551000</v>
      </c>
      <c r="Y42" s="22">
        <v>474000</v>
      </c>
      <c r="Z42" s="22">
        <v>3154000</v>
      </c>
      <c r="AA42" s="22">
        <v>0</v>
      </c>
      <c r="AB42" s="22">
        <v>870000</v>
      </c>
      <c r="AC42" s="22">
        <v>16449000</v>
      </c>
      <c r="AP42" s="24">
        <v>7015000</v>
      </c>
      <c r="AQ42" s="24">
        <v>-423000</v>
      </c>
      <c r="AR42" s="24">
        <v>-18283000</v>
      </c>
      <c r="AT42" s="24">
        <v>371000</v>
      </c>
      <c r="AV42" s="26">
        <v>25750000</v>
      </c>
      <c r="AX42" s="27">
        <f>AY42/AV42</f>
        <v>0.71001941747572817</v>
      </c>
      <c r="AY42" s="26">
        <v>18283000</v>
      </c>
      <c r="BB42" s="26">
        <f>AE42+AI42</f>
        <v>0</v>
      </c>
      <c r="BC42" s="16">
        <f>BB42-T42</f>
        <v>-9021000</v>
      </c>
    </row>
    <row r="43" spans="1:55" s="38" customFormat="1" ht="17" x14ac:dyDescent="0.2">
      <c r="A43" s="28" t="s">
        <v>11</v>
      </c>
      <c r="B43" s="29" t="s">
        <v>55</v>
      </c>
      <c r="C43" s="30">
        <v>42610</v>
      </c>
      <c r="D43" s="29">
        <v>2015</v>
      </c>
      <c r="E43" s="29" t="s">
        <v>56</v>
      </c>
      <c r="F43" s="31">
        <v>11239000</v>
      </c>
      <c r="G43" s="31">
        <v>1634000</v>
      </c>
      <c r="H43" s="31">
        <v>9605000</v>
      </c>
      <c r="I43" s="31">
        <v>2024000</v>
      </c>
      <c r="J43" s="19">
        <f t="shared" si="0"/>
        <v>7858000</v>
      </c>
      <c r="K43" s="31">
        <v>277000</v>
      </c>
      <c r="L43" s="31">
        <v>7581000</v>
      </c>
      <c r="M43" s="31">
        <v>68000</v>
      </c>
      <c r="N43" s="31">
        <v>309000</v>
      </c>
      <c r="O43" s="31">
        <v>9605000</v>
      </c>
      <c r="P43" s="31"/>
      <c r="Q43" s="31">
        <v>5889000</v>
      </c>
      <c r="R43" s="31">
        <v>5889000</v>
      </c>
      <c r="S43" s="32">
        <v>23295000</v>
      </c>
      <c r="T43" s="32">
        <v>20712000</v>
      </c>
      <c r="U43" s="32">
        <v>2346000</v>
      </c>
      <c r="V43" s="32">
        <v>0</v>
      </c>
      <c r="W43" s="32">
        <v>237000</v>
      </c>
      <c r="X43" s="32">
        <v>4040000</v>
      </c>
      <c r="Y43" s="32">
        <v>363000</v>
      </c>
      <c r="Z43" s="32">
        <v>2832000</v>
      </c>
      <c r="AA43" s="32">
        <v>0</v>
      </c>
      <c r="AB43" s="32">
        <v>845000</v>
      </c>
      <c r="AC43" s="32">
        <v>27335000</v>
      </c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4">
        <v>6272000</v>
      </c>
      <c r="AQ43" s="34">
        <v>-718000</v>
      </c>
      <c r="AR43" s="34">
        <v>0</v>
      </c>
      <c r="AS43" s="34"/>
      <c r="AT43" s="34">
        <v>770000</v>
      </c>
      <c r="AU43" s="34"/>
      <c r="AV43" s="35">
        <v>25750000</v>
      </c>
      <c r="AW43" s="35"/>
      <c r="AX43" s="36">
        <f>AY43/AV43</f>
        <v>0</v>
      </c>
      <c r="AY43" s="35">
        <v>0</v>
      </c>
      <c r="AZ43" s="35"/>
      <c r="BA43" s="35"/>
      <c r="BB43" s="35">
        <f>AE43+AI43</f>
        <v>0</v>
      </c>
      <c r="BC43" s="37">
        <f>BB43-T43</f>
        <v>-20712000</v>
      </c>
    </row>
    <row r="44" spans="1:55" x14ac:dyDescent="0.2">
      <c r="A44" s="17" t="s">
        <v>64</v>
      </c>
      <c r="B44" s="20" t="s">
        <v>55</v>
      </c>
      <c r="C44" s="21">
        <v>45974</v>
      </c>
      <c r="D44" s="20">
        <v>2025</v>
      </c>
      <c r="E44" s="20" t="s">
        <v>58</v>
      </c>
      <c r="F44" s="19">
        <v>414545000</v>
      </c>
      <c r="J44" s="19">
        <v>198544000</v>
      </c>
      <c r="Q44" s="19">
        <v>32565000</v>
      </c>
      <c r="S44" s="22">
        <v>539783000</v>
      </c>
      <c r="X44" s="22">
        <v>1757630000</v>
      </c>
      <c r="AD44" s="23">
        <v>408930000</v>
      </c>
      <c r="AH44" s="23">
        <v>554236000</v>
      </c>
      <c r="AK44" s="23">
        <v>1334247000</v>
      </c>
      <c r="AV44" s="26">
        <v>19853300</v>
      </c>
      <c r="BC44" s="16"/>
    </row>
    <row r="45" spans="1:55" x14ac:dyDescent="0.2">
      <c r="A45" s="17" t="s">
        <v>64</v>
      </c>
      <c r="B45" s="20" t="s">
        <v>55</v>
      </c>
      <c r="D45" s="20">
        <v>2025</v>
      </c>
      <c r="E45" s="20" t="s">
        <v>57</v>
      </c>
      <c r="F45" s="19">
        <v>449554000</v>
      </c>
      <c r="Q45" s="19">
        <v>5373000</v>
      </c>
      <c r="AV45" s="26">
        <v>19853300</v>
      </c>
      <c r="BC45" s="16"/>
    </row>
    <row r="46" spans="1:55" x14ac:dyDescent="0.2">
      <c r="A46" s="17" t="s">
        <v>64</v>
      </c>
      <c r="B46" s="20" t="s">
        <v>55</v>
      </c>
      <c r="D46" s="20">
        <v>2025</v>
      </c>
      <c r="E46" s="20" t="s">
        <v>56</v>
      </c>
      <c r="F46" s="19">
        <v>508518000</v>
      </c>
      <c r="Q46" s="19">
        <v>2874000</v>
      </c>
      <c r="AV46" s="26">
        <v>19853300</v>
      </c>
      <c r="BC46" s="16"/>
    </row>
    <row r="47" spans="1:55" x14ac:dyDescent="0.2">
      <c r="A47" s="17" t="s">
        <v>64</v>
      </c>
      <c r="B47" s="20" t="s">
        <v>55</v>
      </c>
      <c r="D47" s="20">
        <v>2024</v>
      </c>
      <c r="E47" s="20" t="s">
        <v>59</v>
      </c>
      <c r="F47" s="19">
        <v>487275000</v>
      </c>
      <c r="Q47" s="19">
        <v>104410000</v>
      </c>
      <c r="AV47" s="26">
        <v>19853300</v>
      </c>
      <c r="BC47" s="16"/>
    </row>
    <row r="48" spans="1:55" x14ac:dyDescent="0.2">
      <c r="A48" s="17" t="s">
        <v>64</v>
      </c>
      <c r="B48" s="20" t="s">
        <v>55</v>
      </c>
      <c r="D48" s="20">
        <v>2024</v>
      </c>
      <c r="E48" s="20" t="s">
        <v>58</v>
      </c>
      <c r="F48" s="19">
        <v>459752000</v>
      </c>
      <c r="Q48" s="19">
        <v>-7432000</v>
      </c>
      <c r="AV48" s="26">
        <v>19853300</v>
      </c>
      <c r="BC48" s="16"/>
    </row>
    <row r="49" spans="1:55" x14ac:dyDescent="0.2">
      <c r="A49" s="17" t="s">
        <v>64</v>
      </c>
      <c r="B49" s="20" t="s">
        <v>55</v>
      </c>
      <c r="D49" s="20">
        <v>2024</v>
      </c>
      <c r="E49" s="20" t="s">
        <v>57</v>
      </c>
      <c r="F49" s="19">
        <v>508413000</v>
      </c>
      <c r="Q49" s="19">
        <v>29730000</v>
      </c>
      <c r="AV49" s="26">
        <v>19853300</v>
      </c>
      <c r="BC49" s="16"/>
    </row>
    <row r="50" spans="1:55" x14ac:dyDescent="0.2">
      <c r="A50" s="17" t="s">
        <v>64</v>
      </c>
      <c r="B50" s="20" t="s">
        <v>55</v>
      </c>
      <c r="D50" s="20">
        <v>2024</v>
      </c>
      <c r="E50" s="20" t="s">
        <v>56</v>
      </c>
      <c r="F50" s="19">
        <v>491924000</v>
      </c>
      <c r="Q50" s="19">
        <v>16361000</v>
      </c>
      <c r="AV50" s="26">
        <v>19853300</v>
      </c>
      <c r="BC50" s="16"/>
    </row>
    <row r="51" spans="1:55" x14ac:dyDescent="0.2">
      <c r="A51" s="17" t="s">
        <v>64</v>
      </c>
      <c r="B51" s="20" t="s">
        <v>55</v>
      </c>
      <c r="D51" s="20">
        <v>2023</v>
      </c>
      <c r="E51" s="20" t="s">
        <v>59</v>
      </c>
      <c r="F51" s="19">
        <v>535276000</v>
      </c>
      <c r="Q51" s="19">
        <v>82393000</v>
      </c>
      <c r="AV51" s="26">
        <v>19853300</v>
      </c>
      <c r="BC51" s="16"/>
    </row>
    <row r="52" spans="1:55" x14ac:dyDescent="0.2">
      <c r="A52" s="17" t="s">
        <v>64</v>
      </c>
      <c r="B52" s="20" t="s">
        <v>55</v>
      </c>
      <c r="D52" s="20">
        <v>2023</v>
      </c>
      <c r="E52" s="20" t="s">
        <v>58</v>
      </c>
      <c r="F52" s="19">
        <v>512065000</v>
      </c>
      <c r="Q52" s="19">
        <v>29813000</v>
      </c>
      <c r="AV52" s="26">
        <v>19853300</v>
      </c>
      <c r="BC52" s="16"/>
    </row>
    <row r="53" spans="1:55" x14ac:dyDescent="0.2">
      <c r="A53" s="17" t="s">
        <v>64</v>
      </c>
      <c r="B53" s="20" t="s">
        <v>55</v>
      </c>
      <c r="D53" s="20">
        <v>2023</v>
      </c>
      <c r="E53" s="20" t="s">
        <v>57</v>
      </c>
      <c r="F53" s="19">
        <v>560876000</v>
      </c>
      <c r="Q53" s="19">
        <v>15131000</v>
      </c>
      <c r="AV53" s="26">
        <v>19853300</v>
      </c>
      <c r="BC53" s="16"/>
    </row>
    <row r="54" spans="1:55" x14ac:dyDescent="0.2">
      <c r="A54" s="17" t="s">
        <v>64</v>
      </c>
      <c r="B54" s="20" t="s">
        <v>55</v>
      </c>
      <c r="D54" s="20">
        <v>2023</v>
      </c>
      <c r="E54" s="20" t="s">
        <v>56</v>
      </c>
      <c r="F54" s="19">
        <v>779974000</v>
      </c>
      <c r="Q54" s="19">
        <v>140542000</v>
      </c>
      <c r="AV54" s="26">
        <v>19853300</v>
      </c>
      <c r="BC54" s="16"/>
    </row>
    <row r="55" spans="1:55" x14ac:dyDescent="0.2">
      <c r="A55" s="17" t="s">
        <v>64</v>
      </c>
      <c r="B55" s="20" t="s">
        <v>55</v>
      </c>
      <c r="D55" s="20">
        <v>2022</v>
      </c>
      <c r="E55" s="20" t="s">
        <v>59</v>
      </c>
      <c r="F55" s="19">
        <v>928686000</v>
      </c>
      <c r="Q55" s="19">
        <v>287273000</v>
      </c>
      <c r="AV55" s="26">
        <v>19853300</v>
      </c>
      <c r="BC55" s="15"/>
    </row>
    <row r="56" spans="1:55" x14ac:dyDescent="0.2">
      <c r="A56" s="17" t="s">
        <v>64</v>
      </c>
      <c r="B56" s="20" t="s">
        <v>55</v>
      </c>
      <c r="D56" s="20">
        <v>2022</v>
      </c>
      <c r="E56" s="20" t="s">
        <v>58</v>
      </c>
      <c r="F56" s="19">
        <v>802484000</v>
      </c>
      <c r="Q56" s="19">
        <v>146506000</v>
      </c>
      <c r="AV56" s="26">
        <v>19853300</v>
      </c>
      <c r="BC56" s="15"/>
    </row>
    <row r="57" spans="1:55" x14ac:dyDescent="0.2">
      <c r="A57" s="17" t="s">
        <v>64</v>
      </c>
      <c r="B57" s="20" t="s">
        <v>55</v>
      </c>
      <c r="D57" s="20">
        <v>2022</v>
      </c>
      <c r="E57" s="20" t="s">
        <v>57</v>
      </c>
      <c r="F57" s="19">
        <v>714172000</v>
      </c>
      <c r="Q57" s="19">
        <v>117422000</v>
      </c>
      <c r="AV57" s="26">
        <v>19853300</v>
      </c>
      <c r="BC57" s="15"/>
    </row>
    <row r="58" spans="1:55" x14ac:dyDescent="0.2">
      <c r="A58" s="17" t="s">
        <v>64</v>
      </c>
      <c r="B58" s="20" t="s">
        <v>55</v>
      </c>
      <c r="D58" s="20">
        <v>2022</v>
      </c>
      <c r="E58" s="20" t="s">
        <v>56</v>
      </c>
      <c r="F58" s="19">
        <v>697370000</v>
      </c>
      <c r="Q58" s="19">
        <v>123884000</v>
      </c>
      <c r="AV58" s="26">
        <v>19853300</v>
      </c>
      <c r="BC58" s="15"/>
    </row>
    <row r="59" spans="1:55" x14ac:dyDescent="0.2">
      <c r="A59" s="17" t="s">
        <v>64</v>
      </c>
      <c r="B59" s="20" t="s">
        <v>55</v>
      </c>
      <c r="D59" s="20">
        <v>2021</v>
      </c>
      <c r="E59" s="20" t="s">
        <v>59</v>
      </c>
      <c r="F59" s="19">
        <v>606676000</v>
      </c>
      <c r="Q59" s="19">
        <v>180976000</v>
      </c>
      <c r="AV59" s="26">
        <v>19853300</v>
      </c>
      <c r="BC59" s="15"/>
    </row>
    <row r="60" spans="1:55" x14ac:dyDescent="0.2">
      <c r="A60" s="17" t="s">
        <v>64</v>
      </c>
      <c r="B60" s="20" t="s">
        <v>55</v>
      </c>
      <c r="D60" s="20">
        <v>2021</v>
      </c>
      <c r="E60" s="20" t="s">
        <v>58</v>
      </c>
      <c r="F60" s="19">
        <v>541891000</v>
      </c>
      <c r="Q60" s="19">
        <v>76667000</v>
      </c>
      <c r="AV60" s="26">
        <v>19853300</v>
      </c>
      <c r="BC60" s="15"/>
    </row>
    <row r="61" spans="1:55" x14ac:dyDescent="0.2">
      <c r="A61" s="17" t="s">
        <v>64</v>
      </c>
      <c r="B61" s="20" t="s">
        <v>55</v>
      </c>
      <c r="D61" s="20">
        <v>2021</v>
      </c>
      <c r="E61" s="20" t="s">
        <v>57</v>
      </c>
      <c r="F61" s="19">
        <v>559352000</v>
      </c>
      <c r="Q61" s="19">
        <v>90145000</v>
      </c>
      <c r="AV61" s="26">
        <v>19853300</v>
      </c>
      <c r="BC61" s="15"/>
    </row>
    <row r="62" spans="1:55" x14ac:dyDescent="0.2">
      <c r="A62" s="17" t="s">
        <v>64</v>
      </c>
      <c r="B62" s="20" t="s">
        <v>55</v>
      </c>
      <c r="D62" s="20">
        <v>2021</v>
      </c>
      <c r="E62" s="20" t="s">
        <v>56</v>
      </c>
      <c r="F62" s="19">
        <v>495387000</v>
      </c>
      <c r="Q62" s="19">
        <v>69534000</v>
      </c>
      <c r="AV62" s="26">
        <v>19853300</v>
      </c>
      <c r="BC62" s="15"/>
    </row>
    <row r="63" spans="1:55" x14ac:dyDescent="0.2">
      <c r="A63" s="17" t="s">
        <v>64</v>
      </c>
      <c r="B63" s="20" t="s">
        <v>55</v>
      </c>
      <c r="D63" s="20">
        <v>2020</v>
      </c>
      <c r="E63" s="20" t="s">
        <v>59</v>
      </c>
      <c r="F63" s="19">
        <v>430171000</v>
      </c>
      <c r="Q63" s="19">
        <v>57993000</v>
      </c>
      <c r="AV63" s="26">
        <v>19853300</v>
      </c>
      <c r="BC63" s="15"/>
    </row>
    <row r="64" spans="1:55" x14ac:dyDescent="0.2">
      <c r="A64" s="17" t="s">
        <v>64</v>
      </c>
      <c r="B64" s="20" t="s">
        <v>55</v>
      </c>
      <c r="D64" s="20">
        <v>2020</v>
      </c>
      <c r="E64" s="20" t="s">
        <v>58</v>
      </c>
      <c r="F64" s="19">
        <v>341796000</v>
      </c>
      <c r="Q64" s="19">
        <v>29230000</v>
      </c>
      <c r="AV64" s="26">
        <v>19853300</v>
      </c>
      <c r="BC64" s="15"/>
    </row>
    <row r="65" spans="1:55" x14ac:dyDescent="0.2">
      <c r="A65" s="17" t="s">
        <v>64</v>
      </c>
      <c r="B65" s="20" t="s">
        <v>55</v>
      </c>
      <c r="D65" s="20">
        <v>2020</v>
      </c>
      <c r="E65" s="20" t="s">
        <v>57</v>
      </c>
      <c r="F65" s="19">
        <v>329483000</v>
      </c>
      <c r="Q65" s="19">
        <v>14137000</v>
      </c>
      <c r="AV65" s="26">
        <v>19853300</v>
      </c>
      <c r="BC65" s="15"/>
    </row>
    <row r="66" spans="1:55" x14ac:dyDescent="0.2">
      <c r="A66" s="17" t="s">
        <v>64</v>
      </c>
      <c r="B66" s="20" t="s">
        <v>55</v>
      </c>
      <c r="D66" s="20">
        <v>2020</v>
      </c>
      <c r="E66" s="20" t="s">
        <v>56</v>
      </c>
      <c r="F66" s="19">
        <v>374400000</v>
      </c>
      <c r="Q66" s="19">
        <v>16045000</v>
      </c>
      <c r="AV66" s="26">
        <v>19853300</v>
      </c>
      <c r="BC66" s="15"/>
    </row>
    <row r="67" spans="1:55" x14ac:dyDescent="0.2">
      <c r="A67" s="17" t="s">
        <v>64</v>
      </c>
      <c r="B67" s="20" t="s">
        <v>55</v>
      </c>
      <c r="D67" s="20">
        <v>2019</v>
      </c>
      <c r="E67" s="20" t="s">
        <v>59</v>
      </c>
      <c r="F67" s="19">
        <v>368264000</v>
      </c>
      <c r="Q67" s="19">
        <v>13927000</v>
      </c>
      <c r="AV67" s="26">
        <v>19853300</v>
      </c>
      <c r="BC67" s="15"/>
    </row>
    <row r="68" spans="1:55" x14ac:dyDescent="0.2">
      <c r="A68" s="17" t="s">
        <v>64</v>
      </c>
      <c r="B68" s="20" t="s">
        <v>55</v>
      </c>
      <c r="D68" s="20">
        <v>2019</v>
      </c>
      <c r="E68" s="20" t="s">
        <v>58</v>
      </c>
      <c r="F68" s="19">
        <v>389206000</v>
      </c>
      <c r="Q68" s="19">
        <v>37564000</v>
      </c>
      <c r="AV68" s="26">
        <v>19853300</v>
      </c>
      <c r="BC68" s="15"/>
    </row>
    <row r="69" spans="1:55" x14ac:dyDescent="0.2">
      <c r="A69" s="17" t="s">
        <v>64</v>
      </c>
      <c r="B69" s="20" t="s">
        <v>55</v>
      </c>
      <c r="D69" s="20">
        <v>2019</v>
      </c>
      <c r="E69" s="20" t="s">
        <v>57</v>
      </c>
      <c r="F69" s="19">
        <v>350325000</v>
      </c>
      <c r="Q69" s="19">
        <v>4056000</v>
      </c>
      <c r="AV69" s="26">
        <v>19853300</v>
      </c>
      <c r="BC69" s="15"/>
    </row>
    <row r="70" spans="1:55" x14ac:dyDescent="0.2">
      <c r="A70" s="17" t="s">
        <v>64</v>
      </c>
      <c r="B70" s="20" t="s">
        <v>55</v>
      </c>
      <c r="D70" s="20">
        <v>2019</v>
      </c>
      <c r="E70" s="20" t="s">
        <v>56</v>
      </c>
      <c r="F70" s="19">
        <v>384116000</v>
      </c>
      <c r="Q70" s="19">
        <v>37746000</v>
      </c>
      <c r="AV70" s="26">
        <v>19853300</v>
      </c>
      <c r="BC70" s="15"/>
    </row>
    <row r="71" spans="1:55" x14ac:dyDescent="0.2">
      <c r="A71" s="17" t="s">
        <v>64</v>
      </c>
      <c r="B71" s="20" t="s">
        <v>55</v>
      </c>
      <c r="D71" s="20">
        <v>2018</v>
      </c>
      <c r="E71" s="20" t="s">
        <v>59</v>
      </c>
      <c r="F71" s="19">
        <v>388912000</v>
      </c>
      <c r="Q71" s="19">
        <v>65516000</v>
      </c>
      <c r="AV71" s="26">
        <v>19853300</v>
      </c>
      <c r="BC71" s="15"/>
    </row>
    <row r="72" spans="1:55" x14ac:dyDescent="0.2">
      <c r="A72" s="17" t="s">
        <v>64</v>
      </c>
      <c r="B72" s="20" t="s">
        <v>55</v>
      </c>
      <c r="D72" s="20">
        <v>2018</v>
      </c>
      <c r="E72" s="20" t="s">
        <v>58</v>
      </c>
      <c r="F72" s="19">
        <v>379731000</v>
      </c>
      <c r="Q72" s="19">
        <v>53157000</v>
      </c>
      <c r="AV72" s="26">
        <v>19853300</v>
      </c>
      <c r="BC72" s="15"/>
    </row>
    <row r="73" spans="1:55" x14ac:dyDescent="0.2">
      <c r="A73" s="17" t="s">
        <v>64</v>
      </c>
      <c r="B73" s="20" t="s">
        <v>55</v>
      </c>
      <c r="D73" s="20">
        <v>2018</v>
      </c>
      <c r="E73" s="20" t="s">
        <v>57</v>
      </c>
      <c r="F73" s="19">
        <v>358789000</v>
      </c>
      <c r="Q73" s="19">
        <v>44189000</v>
      </c>
      <c r="AV73" s="26">
        <v>19853300</v>
      </c>
    </row>
    <row r="74" spans="1:55" x14ac:dyDescent="0.2">
      <c r="A74" s="17" t="s">
        <v>64</v>
      </c>
      <c r="B74" s="20" t="s">
        <v>55</v>
      </c>
      <c r="D74" s="20">
        <v>2018</v>
      </c>
      <c r="E74" s="20" t="s">
        <v>56</v>
      </c>
      <c r="F74" s="19">
        <v>362371000</v>
      </c>
      <c r="Q74" s="19">
        <v>63926000</v>
      </c>
      <c r="AV74" s="26">
        <v>19853300</v>
      </c>
    </row>
    <row r="75" spans="1:55" x14ac:dyDescent="0.2">
      <c r="A75" s="17" t="s">
        <v>64</v>
      </c>
      <c r="B75" s="20" t="s">
        <v>55</v>
      </c>
      <c r="D75" s="20">
        <v>2017</v>
      </c>
      <c r="E75" s="20" t="s">
        <v>59</v>
      </c>
      <c r="F75" s="19">
        <v>344534000</v>
      </c>
      <c r="Q75" s="19">
        <v>81517000</v>
      </c>
      <c r="AV75" s="26">
        <v>19853300</v>
      </c>
      <c r="BC75" s="15"/>
    </row>
    <row r="76" spans="1:55" x14ac:dyDescent="0.2">
      <c r="A76" s="17" t="s">
        <v>64</v>
      </c>
      <c r="B76" s="20" t="s">
        <v>55</v>
      </c>
      <c r="D76" s="20">
        <v>2017</v>
      </c>
      <c r="E76" s="20" t="s">
        <v>58</v>
      </c>
      <c r="F76" s="19">
        <v>312356000</v>
      </c>
      <c r="Q76" s="19">
        <v>25632000</v>
      </c>
      <c r="AV76" s="26">
        <v>19853300</v>
      </c>
      <c r="BC76" s="15"/>
    </row>
    <row r="77" spans="1:55" x14ac:dyDescent="0.2">
      <c r="A77" s="17" t="s">
        <v>64</v>
      </c>
      <c r="B77" s="20" t="s">
        <v>55</v>
      </c>
      <c r="D77" s="20">
        <v>2017</v>
      </c>
      <c r="E77" s="20" t="s">
        <v>57</v>
      </c>
      <c r="F77" s="19">
        <v>325332000</v>
      </c>
      <c r="Q77" s="19">
        <v>41514000</v>
      </c>
      <c r="AV77" s="26">
        <v>19853300</v>
      </c>
    </row>
    <row r="78" spans="1:55" x14ac:dyDescent="0.2">
      <c r="A78" s="17" t="s">
        <v>64</v>
      </c>
      <c r="B78" s="20" t="s">
        <v>55</v>
      </c>
      <c r="D78" s="20">
        <v>2017</v>
      </c>
      <c r="E78" s="20" t="s">
        <v>56</v>
      </c>
      <c r="F78" s="19">
        <v>303670000</v>
      </c>
      <c r="Q78" s="19">
        <v>33699000</v>
      </c>
      <c r="AV78" s="26">
        <v>19853300</v>
      </c>
    </row>
    <row r="79" spans="1:55" x14ac:dyDescent="0.2">
      <c r="A79" s="17" t="s">
        <v>64</v>
      </c>
      <c r="B79" s="20" t="s">
        <v>55</v>
      </c>
      <c r="D79" s="20">
        <v>2016</v>
      </c>
      <c r="E79" s="20" t="s">
        <v>59</v>
      </c>
      <c r="F79" s="19">
        <v>292762000</v>
      </c>
      <c r="Q79" s="19">
        <v>106902000</v>
      </c>
      <c r="AV79" s="26">
        <v>19853300</v>
      </c>
      <c r="BC79" s="15"/>
    </row>
    <row r="80" spans="1:55" x14ac:dyDescent="0.2">
      <c r="A80" s="17" t="s">
        <v>64</v>
      </c>
      <c r="B80" s="20" t="s">
        <v>55</v>
      </c>
      <c r="D80" s="20">
        <v>2016</v>
      </c>
      <c r="E80" s="20" t="s">
        <v>58</v>
      </c>
      <c r="F80" s="19">
        <v>265395000</v>
      </c>
      <c r="Q80" s="19">
        <v>30495000</v>
      </c>
      <c r="AV80" s="26">
        <v>19853300</v>
      </c>
      <c r="BC80" s="15"/>
    </row>
    <row r="81" spans="1:55" x14ac:dyDescent="0.2">
      <c r="A81" s="17" t="s">
        <v>64</v>
      </c>
      <c r="B81" s="20" t="s">
        <v>55</v>
      </c>
      <c r="D81" s="20">
        <v>2016</v>
      </c>
      <c r="E81" s="20" t="s">
        <v>57</v>
      </c>
      <c r="F81" s="19">
        <v>267448000</v>
      </c>
      <c r="Q81" s="19">
        <v>35615000</v>
      </c>
      <c r="AV81" s="26">
        <v>19853300</v>
      </c>
    </row>
    <row r="82" spans="1:55" x14ac:dyDescent="0.2">
      <c r="A82" s="17" t="s">
        <v>64</v>
      </c>
      <c r="B82" s="20" t="s">
        <v>55</v>
      </c>
      <c r="D82" s="20">
        <v>2016</v>
      </c>
      <c r="E82" s="20" t="s">
        <v>56</v>
      </c>
      <c r="F82" s="19">
        <v>281589000</v>
      </c>
      <c r="Q82" s="19">
        <v>29714000</v>
      </c>
      <c r="AV82" s="26">
        <v>19853300</v>
      </c>
    </row>
    <row r="83" spans="1:55" x14ac:dyDescent="0.2">
      <c r="A83" s="17" t="s">
        <v>64</v>
      </c>
      <c r="B83" s="20" t="s">
        <v>55</v>
      </c>
      <c r="D83" s="20">
        <v>2015</v>
      </c>
      <c r="E83" s="20" t="s">
        <v>59</v>
      </c>
      <c r="F83" s="19">
        <v>269884000</v>
      </c>
      <c r="Q83" s="19">
        <v>39657000</v>
      </c>
      <c r="AV83" s="26">
        <v>19853300</v>
      </c>
      <c r="BC83" s="15"/>
    </row>
    <row r="84" spans="1:55" x14ac:dyDescent="0.2">
      <c r="A84" s="17" t="s">
        <v>64</v>
      </c>
      <c r="B84" s="20" t="s">
        <v>55</v>
      </c>
      <c r="D84" s="20">
        <v>2015</v>
      </c>
      <c r="E84" s="20" t="s">
        <v>58</v>
      </c>
      <c r="F84" s="19">
        <v>277911000</v>
      </c>
      <c r="Q84" s="19">
        <v>25921000</v>
      </c>
      <c r="AV84" s="26">
        <v>19853300</v>
      </c>
      <c r="BC84" s="15"/>
    </row>
    <row r="85" spans="1:55" x14ac:dyDescent="0.2">
      <c r="A85" s="17" t="s">
        <v>64</v>
      </c>
      <c r="B85" s="20" t="s">
        <v>55</v>
      </c>
      <c r="D85" s="20">
        <v>2015</v>
      </c>
      <c r="E85" s="20" t="s">
        <v>57</v>
      </c>
      <c r="F85" s="19">
        <v>247121000</v>
      </c>
      <c r="Q85" s="19">
        <v>14231000</v>
      </c>
      <c r="AV85" s="26">
        <v>19853300</v>
      </c>
    </row>
    <row r="86" spans="1:55" x14ac:dyDescent="0.2">
      <c r="A86" s="17" t="s">
        <v>64</v>
      </c>
      <c r="B86" s="20" t="s">
        <v>55</v>
      </c>
      <c r="D86" s="20">
        <v>2015</v>
      </c>
      <c r="E86" s="20" t="s">
        <v>56</v>
      </c>
      <c r="F86" s="19">
        <v>253833000</v>
      </c>
      <c r="Q86" s="19">
        <v>4951000</v>
      </c>
      <c r="AV86" s="26">
        <v>19853300</v>
      </c>
    </row>
  </sheetData>
  <autoFilter ref="A1:BC44" xr:uid="{B011D845-C0A1-6144-B026-372543A373DB}">
    <sortState xmlns:xlrd2="http://schemas.microsoft.com/office/spreadsheetml/2017/richdata2" ref="A2:BC86">
      <sortCondition descending="1" ref="A1:A86"/>
    </sortState>
  </autoFilter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C8E8B-D0DF-8741-8EB1-7F05546FE9ED}">
  <dimension ref="A7:AR41"/>
  <sheetViews>
    <sheetView topLeftCell="B1" workbookViewId="0">
      <selection activeCell="AR27" sqref="B27:AR27"/>
    </sheetView>
  </sheetViews>
  <sheetFormatPr baseColWidth="10" defaultRowHeight="16" x14ac:dyDescent="0.2"/>
  <cols>
    <col min="11" max="11" width="11.83203125" bestFit="1" customWidth="1"/>
    <col min="35" max="35" width="12.5" bestFit="1" customWidth="1"/>
  </cols>
  <sheetData>
    <row r="7" spans="2:11" ht="17" x14ac:dyDescent="0.2">
      <c r="B7" s="11"/>
      <c r="K7" s="11"/>
    </row>
    <row r="8" spans="2:11" ht="17" x14ac:dyDescent="0.2">
      <c r="B8" s="11"/>
      <c r="K8" s="11"/>
    </row>
    <row r="9" spans="2:11" ht="17" x14ac:dyDescent="0.2">
      <c r="B9" s="11"/>
      <c r="K9" s="11"/>
    </row>
    <row r="10" spans="2:11" ht="17" x14ac:dyDescent="0.2">
      <c r="B10" s="11"/>
      <c r="K10" s="11"/>
    </row>
    <row r="11" spans="2:11" ht="17" x14ac:dyDescent="0.2">
      <c r="B11" s="11"/>
      <c r="K11" s="11"/>
    </row>
    <row r="12" spans="2:11" ht="17" x14ac:dyDescent="0.2">
      <c r="B12" s="11"/>
      <c r="K12" s="11"/>
    </row>
    <row r="13" spans="2:11" ht="17" x14ac:dyDescent="0.2">
      <c r="B13" s="11"/>
      <c r="K13" s="11"/>
    </row>
    <row r="14" spans="2:11" ht="17" x14ac:dyDescent="0.2">
      <c r="B14" s="11"/>
      <c r="K14" s="11"/>
    </row>
    <row r="20" spans="1:44" x14ac:dyDescent="0.2"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</row>
    <row r="21" spans="1:44" x14ac:dyDescent="0.2"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</row>
    <row r="22" spans="1:44" ht="17" x14ac:dyDescent="0.2">
      <c r="B22" s="12"/>
      <c r="C22" s="12"/>
      <c r="D22" s="12"/>
      <c r="E22" s="12"/>
      <c r="F22" s="11"/>
      <c r="G22" s="12"/>
      <c r="H22" s="12"/>
      <c r="I22" s="12"/>
      <c r="J22" s="12"/>
      <c r="K22" s="12"/>
      <c r="L22" s="12"/>
      <c r="M22" s="12"/>
      <c r="N22" s="12"/>
      <c r="O22" s="11"/>
      <c r="P22" s="11"/>
      <c r="Q22" s="11"/>
    </row>
    <row r="27" spans="1:44" x14ac:dyDescent="0.2">
      <c r="B27" s="8">
        <v>2015</v>
      </c>
      <c r="C27" s="8">
        <v>2015</v>
      </c>
      <c r="D27" s="8">
        <v>2015</v>
      </c>
      <c r="E27" s="8">
        <v>2015</v>
      </c>
      <c r="F27" s="8">
        <v>2016</v>
      </c>
      <c r="G27" s="8">
        <v>2016</v>
      </c>
      <c r="H27" s="8">
        <v>2016</v>
      </c>
      <c r="I27" s="8">
        <v>2016</v>
      </c>
      <c r="J27" s="8">
        <v>2017</v>
      </c>
      <c r="K27" s="8">
        <v>2017</v>
      </c>
      <c r="L27" s="8">
        <v>2017</v>
      </c>
      <c r="M27" s="8">
        <v>2017</v>
      </c>
      <c r="N27" s="8">
        <v>2018</v>
      </c>
      <c r="O27" s="8">
        <v>2018</v>
      </c>
      <c r="P27" s="8">
        <v>2018</v>
      </c>
      <c r="Q27" s="8">
        <v>2018</v>
      </c>
      <c r="R27" s="8">
        <v>2019</v>
      </c>
      <c r="S27" s="8">
        <v>2019</v>
      </c>
      <c r="T27" s="8">
        <v>2019</v>
      </c>
      <c r="U27" s="8">
        <v>2019</v>
      </c>
      <c r="V27" s="8">
        <v>2020</v>
      </c>
      <c r="W27" s="8">
        <v>2020</v>
      </c>
      <c r="X27" s="8">
        <v>2020</v>
      </c>
      <c r="Y27" s="8">
        <v>2020</v>
      </c>
      <c r="Z27" s="8">
        <v>2021</v>
      </c>
      <c r="AA27" s="8">
        <v>2021</v>
      </c>
      <c r="AB27" s="8">
        <v>2021</v>
      </c>
      <c r="AC27" s="8">
        <v>2021</v>
      </c>
      <c r="AD27" s="8">
        <v>2022</v>
      </c>
      <c r="AE27" s="8">
        <v>2022</v>
      </c>
      <c r="AF27" s="8">
        <v>2022</v>
      </c>
      <c r="AG27" s="8">
        <v>2022</v>
      </c>
      <c r="AH27" s="8">
        <v>2023</v>
      </c>
      <c r="AI27" s="8">
        <v>2023</v>
      </c>
      <c r="AJ27" s="8">
        <v>2023</v>
      </c>
      <c r="AK27" s="8">
        <v>2023</v>
      </c>
      <c r="AL27" s="8">
        <v>2024</v>
      </c>
      <c r="AM27" s="8">
        <v>2024</v>
      </c>
      <c r="AN27" s="8">
        <v>2024</v>
      </c>
      <c r="AO27" s="8">
        <v>2024</v>
      </c>
      <c r="AP27" s="8">
        <v>2025</v>
      </c>
      <c r="AQ27" s="8">
        <v>2025</v>
      </c>
      <c r="AR27" s="8">
        <v>2025</v>
      </c>
    </row>
    <row r="28" spans="1:44" x14ac:dyDescent="0.2">
      <c r="B28" s="8" t="s">
        <v>56</v>
      </c>
      <c r="C28" s="8" t="s">
        <v>57</v>
      </c>
      <c r="D28" s="8" t="s">
        <v>58</v>
      </c>
      <c r="E28" s="8" t="s">
        <v>59</v>
      </c>
      <c r="F28" s="8" t="s">
        <v>56</v>
      </c>
      <c r="G28" s="8" t="s">
        <v>57</v>
      </c>
      <c r="H28" s="8" t="s">
        <v>58</v>
      </c>
      <c r="I28" s="8" t="s">
        <v>59</v>
      </c>
      <c r="J28" s="8" t="s">
        <v>56</v>
      </c>
      <c r="K28" s="8" t="s">
        <v>57</v>
      </c>
      <c r="L28" s="8" t="s">
        <v>58</v>
      </c>
      <c r="M28" s="8" t="s">
        <v>59</v>
      </c>
      <c r="N28" s="8" t="s">
        <v>56</v>
      </c>
      <c r="O28" s="8" t="s">
        <v>57</v>
      </c>
      <c r="P28" s="8" t="s">
        <v>58</v>
      </c>
      <c r="Q28" s="8" t="s">
        <v>59</v>
      </c>
      <c r="R28" s="8" t="s">
        <v>56</v>
      </c>
      <c r="S28" s="8" t="s">
        <v>57</v>
      </c>
      <c r="T28" s="8" t="s">
        <v>58</v>
      </c>
      <c r="U28" s="8" t="s">
        <v>59</v>
      </c>
      <c r="V28" s="8" t="s">
        <v>56</v>
      </c>
      <c r="W28" s="8" t="s">
        <v>57</v>
      </c>
      <c r="X28" s="8" t="s">
        <v>58</v>
      </c>
      <c r="Y28" s="8" t="s">
        <v>59</v>
      </c>
      <c r="Z28" s="8" t="s">
        <v>56</v>
      </c>
      <c r="AA28" s="8" t="s">
        <v>57</v>
      </c>
      <c r="AB28" s="8" t="s">
        <v>58</v>
      </c>
      <c r="AC28" s="8" t="s">
        <v>59</v>
      </c>
      <c r="AD28" s="8" t="s">
        <v>56</v>
      </c>
      <c r="AE28" s="8" t="s">
        <v>57</v>
      </c>
      <c r="AF28" s="8" t="s">
        <v>58</v>
      </c>
      <c r="AG28" s="8" t="s">
        <v>59</v>
      </c>
      <c r="AH28" s="8" t="s">
        <v>56</v>
      </c>
      <c r="AI28" s="8" t="s">
        <v>57</v>
      </c>
      <c r="AJ28" s="8" t="s">
        <v>58</v>
      </c>
      <c r="AK28" s="8" t="s">
        <v>59</v>
      </c>
      <c r="AL28" s="8" t="s">
        <v>56</v>
      </c>
      <c r="AM28" s="8" t="s">
        <v>57</v>
      </c>
      <c r="AN28" s="8" t="s">
        <v>58</v>
      </c>
      <c r="AO28" s="8" t="s">
        <v>59</v>
      </c>
      <c r="AP28" s="8" t="s">
        <v>56</v>
      </c>
      <c r="AQ28" s="8" t="s">
        <v>57</v>
      </c>
      <c r="AR28" s="8" t="s">
        <v>58</v>
      </c>
    </row>
    <row r="29" spans="1:44" ht="17" x14ac:dyDescent="0.2">
      <c r="B29" s="13">
        <v>4951</v>
      </c>
      <c r="C29" s="13">
        <v>14231</v>
      </c>
      <c r="D29" s="13">
        <v>25921</v>
      </c>
      <c r="E29" s="13">
        <v>39657</v>
      </c>
      <c r="F29" s="13">
        <v>29714</v>
      </c>
      <c r="G29" s="13">
        <v>35615</v>
      </c>
      <c r="H29" s="13">
        <v>30495</v>
      </c>
      <c r="I29" s="13">
        <v>106902</v>
      </c>
      <c r="J29" s="13">
        <v>33699</v>
      </c>
      <c r="K29" s="13">
        <v>41514</v>
      </c>
      <c r="L29" s="13">
        <v>25632</v>
      </c>
      <c r="M29" s="13">
        <v>81517</v>
      </c>
      <c r="N29" s="13">
        <v>63926</v>
      </c>
      <c r="O29" s="13">
        <v>44189</v>
      </c>
      <c r="P29" s="13">
        <v>53157</v>
      </c>
      <c r="Q29" s="13">
        <v>65516</v>
      </c>
      <c r="R29" s="13">
        <v>37746</v>
      </c>
      <c r="S29" s="13">
        <v>4056</v>
      </c>
      <c r="T29" s="13">
        <v>37564</v>
      </c>
      <c r="U29" s="13">
        <v>13927</v>
      </c>
      <c r="V29" s="13">
        <v>16045</v>
      </c>
      <c r="W29" s="13">
        <v>14137</v>
      </c>
      <c r="X29" s="13">
        <v>29230</v>
      </c>
      <c r="Y29" s="13">
        <v>57993</v>
      </c>
      <c r="Z29" s="13">
        <v>69534</v>
      </c>
      <c r="AA29" s="13">
        <v>90145</v>
      </c>
      <c r="AB29" s="13">
        <v>76667</v>
      </c>
      <c r="AC29" s="13">
        <v>180976</v>
      </c>
      <c r="AD29" s="13">
        <v>123884</v>
      </c>
      <c r="AE29" s="13">
        <v>117422</v>
      </c>
      <c r="AF29" s="13">
        <v>146506</v>
      </c>
      <c r="AG29" s="13">
        <v>287273</v>
      </c>
      <c r="AH29" s="13">
        <v>140542</v>
      </c>
      <c r="AI29" s="13">
        <v>15131</v>
      </c>
      <c r="AJ29" s="13">
        <v>29813</v>
      </c>
      <c r="AK29" s="13">
        <v>82393</v>
      </c>
      <c r="AL29" s="13">
        <v>16361</v>
      </c>
      <c r="AM29" s="13">
        <v>29730</v>
      </c>
      <c r="AN29" s="13">
        <v>-7432</v>
      </c>
      <c r="AO29" s="13">
        <v>104410</v>
      </c>
      <c r="AP29" s="13">
        <v>2874</v>
      </c>
      <c r="AQ29" s="13">
        <v>5373</v>
      </c>
      <c r="AR29" s="13">
        <v>32565</v>
      </c>
    </row>
    <row r="32" spans="1:44" ht="17" x14ac:dyDescent="0.2">
      <c r="A32" s="12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4"/>
    </row>
    <row r="33" spans="1:44" ht="17" x14ac:dyDescent="0.2">
      <c r="A33" s="12"/>
      <c r="B33" s="12"/>
      <c r="C33" s="11"/>
      <c r="D33" s="12"/>
      <c r="E33" s="11"/>
      <c r="F33" s="12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R33" s="14"/>
    </row>
    <row r="34" spans="1:44" ht="17" x14ac:dyDescent="0.2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pans="1:44" x14ac:dyDescent="0.2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1:44" ht="17" x14ac:dyDescent="0.2"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4"/>
    </row>
    <row r="37" spans="1:44" ht="17" x14ac:dyDescent="0.2">
      <c r="K37" s="11"/>
      <c r="AB37" s="11"/>
      <c r="AC37" s="14"/>
    </row>
    <row r="38" spans="1:44" ht="17" x14ac:dyDescent="0.2">
      <c r="K38" s="11"/>
      <c r="AC38" s="11"/>
      <c r="AD38" s="14"/>
    </row>
    <row r="39" spans="1:44" ht="17" x14ac:dyDescent="0.2">
      <c r="G39" s="12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4"/>
    </row>
    <row r="40" spans="1:44" ht="17" x14ac:dyDescent="0.2">
      <c r="G40" s="12"/>
      <c r="H40" s="12"/>
      <c r="I40" s="11"/>
      <c r="J40" s="12"/>
      <c r="K40" s="11"/>
      <c r="L40" s="12"/>
      <c r="M40" s="11"/>
      <c r="N40" s="11"/>
      <c r="O40" s="11"/>
      <c r="Q40" s="11"/>
      <c r="R40" s="11"/>
      <c r="S40" s="11"/>
      <c r="T40" s="11"/>
      <c r="U40" s="11"/>
      <c r="V40" s="11"/>
      <c r="W40" s="11"/>
      <c r="X40" s="11"/>
      <c r="Y40" s="14"/>
    </row>
    <row r="41" spans="1:44" ht="17" x14ac:dyDescent="0.2">
      <c r="G41" s="13"/>
      <c r="H41" s="13"/>
      <c r="I41" s="13"/>
      <c r="J41" s="13"/>
      <c r="K41" s="13"/>
      <c r="L41" s="13"/>
      <c r="M41" s="13"/>
      <c r="N41" s="13"/>
      <c r="O41" s="13"/>
      <c r="Q41" s="13"/>
    </row>
  </sheetData>
  <hyperlinks>
    <hyperlink ref="AQ32" r:id="rId1" display="javascript:void(0)" xr:uid="{BD93F4FE-5EF0-DD45-8E52-D31821941774}"/>
    <hyperlink ref="AR33" r:id="rId2" display="javascript:void(0)" xr:uid="{126CA09E-9FAF-9A47-A1D5-995D86D0E291}"/>
    <hyperlink ref="AB36" r:id="rId3" display="javascript:void(0)" xr:uid="{4594C192-42FD-FD44-BF67-433FC2EE18DD}"/>
    <hyperlink ref="Y40" r:id="rId4" display="javascript:void(0)" xr:uid="{C40B3CAA-0B65-694A-B856-1F21BFE78B9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2D27-F5A7-A347-BBF7-ABB399FB9C91}">
  <dimension ref="B2:J45"/>
  <sheetViews>
    <sheetView topLeftCell="A10" workbookViewId="0">
      <selection activeCell="J3" sqref="J3:J45"/>
    </sheetView>
  </sheetViews>
  <sheetFormatPr baseColWidth="10" defaultRowHeight="16" x14ac:dyDescent="0.2"/>
  <cols>
    <col min="10" max="10" width="11.5" bestFit="1" customWidth="1"/>
  </cols>
  <sheetData>
    <row r="2" spans="2:10" x14ac:dyDescent="0.2">
      <c r="G2" t="s">
        <v>60</v>
      </c>
      <c r="H2" t="s">
        <v>61</v>
      </c>
      <c r="I2" t="s">
        <v>62</v>
      </c>
    </row>
    <row r="3" spans="2:10" ht="17" x14ac:dyDescent="0.2">
      <c r="B3" s="8">
        <v>2015</v>
      </c>
      <c r="C3" s="8" t="s">
        <v>56</v>
      </c>
      <c r="G3" s="8">
        <v>2025</v>
      </c>
      <c r="H3" s="8" t="s">
        <v>58</v>
      </c>
      <c r="I3" s="13">
        <v>32565</v>
      </c>
      <c r="J3" s="10">
        <f>I3*1000</f>
        <v>32565000</v>
      </c>
    </row>
    <row r="4" spans="2:10" ht="17" x14ac:dyDescent="0.2">
      <c r="B4" s="8">
        <v>2015</v>
      </c>
      <c r="C4" s="8" t="s">
        <v>57</v>
      </c>
      <c r="G4" s="8">
        <v>2025</v>
      </c>
      <c r="H4" s="8" t="s">
        <v>57</v>
      </c>
      <c r="I4" s="13">
        <v>5373</v>
      </c>
      <c r="J4" s="10">
        <f t="shared" ref="J4:J45" si="0">I4*1000</f>
        <v>5373000</v>
      </c>
    </row>
    <row r="5" spans="2:10" ht="17" x14ac:dyDescent="0.2">
      <c r="B5" s="8">
        <v>2015</v>
      </c>
      <c r="C5" s="8" t="s">
        <v>58</v>
      </c>
      <c r="G5" s="8">
        <v>2025</v>
      </c>
      <c r="H5" s="8" t="s">
        <v>56</v>
      </c>
      <c r="I5" s="13">
        <v>2874</v>
      </c>
      <c r="J5" s="10">
        <f t="shared" si="0"/>
        <v>2874000</v>
      </c>
    </row>
    <row r="6" spans="2:10" ht="17" x14ac:dyDescent="0.2">
      <c r="B6" s="8">
        <v>2015</v>
      </c>
      <c r="C6" s="8" t="s">
        <v>59</v>
      </c>
      <c r="G6" s="8">
        <v>2024</v>
      </c>
      <c r="H6" s="8" t="s">
        <v>59</v>
      </c>
      <c r="I6" s="13">
        <v>104410</v>
      </c>
      <c r="J6" s="10">
        <f t="shared" si="0"/>
        <v>104410000</v>
      </c>
    </row>
    <row r="7" spans="2:10" ht="17" x14ac:dyDescent="0.2">
      <c r="B7" s="8">
        <v>2016</v>
      </c>
      <c r="C7" s="8" t="s">
        <v>56</v>
      </c>
      <c r="G7" s="8">
        <v>2024</v>
      </c>
      <c r="H7" s="8" t="s">
        <v>58</v>
      </c>
      <c r="I7" s="13">
        <v>-7432</v>
      </c>
      <c r="J7" s="10">
        <f t="shared" si="0"/>
        <v>-7432000</v>
      </c>
    </row>
    <row r="8" spans="2:10" ht="17" x14ac:dyDescent="0.2">
      <c r="B8" s="8">
        <v>2016</v>
      </c>
      <c r="C8" s="8" t="s">
        <v>57</v>
      </c>
      <c r="G8" s="8">
        <v>2024</v>
      </c>
      <c r="H8" s="8" t="s">
        <v>57</v>
      </c>
      <c r="I8" s="13">
        <v>29730</v>
      </c>
      <c r="J8" s="10">
        <f t="shared" si="0"/>
        <v>29730000</v>
      </c>
    </row>
    <row r="9" spans="2:10" ht="17" x14ac:dyDescent="0.2">
      <c r="B9" s="8">
        <v>2016</v>
      </c>
      <c r="C9" s="8" t="s">
        <v>58</v>
      </c>
      <c r="G9" s="8">
        <v>2024</v>
      </c>
      <c r="H9" s="8" t="s">
        <v>56</v>
      </c>
      <c r="I9" s="13">
        <v>16361</v>
      </c>
      <c r="J9" s="10">
        <f t="shared" si="0"/>
        <v>16361000</v>
      </c>
    </row>
    <row r="10" spans="2:10" ht="17" x14ac:dyDescent="0.2">
      <c r="B10" s="8">
        <v>2016</v>
      </c>
      <c r="C10" s="8" t="s">
        <v>59</v>
      </c>
      <c r="G10" s="8">
        <v>2023</v>
      </c>
      <c r="H10" s="8" t="s">
        <v>59</v>
      </c>
      <c r="I10" s="13">
        <v>82393</v>
      </c>
      <c r="J10" s="10">
        <f t="shared" si="0"/>
        <v>82393000</v>
      </c>
    </row>
    <row r="11" spans="2:10" ht="17" x14ac:dyDescent="0.2">
      <c r="B11" s="8">
        <v>2017</v>
      </c>
      <c r="C11" s="8" t="s">
        <v>56</v>
      </c>
      <c r="G11" s="8">
        <v>2023</v>
      </c>
      <c r="H11" s="8" t="s">
        <v>58</v>
      </c>
      <c r="I11" s="13">
        <v>29813</v>
      </c>
      <c r="J11" s="10">
        <f t="shared" si="0"/>
        <v>29813000</v>
      </c>
    </row>
    <row r="12" spans="2:10" ht="17" x14ac:dyDescent="0.2">
      <c r="B12" s="8">
        <v>2017</v>
      </c>
      <c r="C12" s="8" t="s">
        <v>57</v>
      </c>
      <c r="G12" s="8">
        <v>2023</v>
      </c>
      <c r="H12" s="8" t="s">
        <v>57</v>
      </c>
      <c r="I12" s="13">
        <v>15131</v>
      </c>
      <c r="J12" s="10">
        <f t="shared" si="0"/>
        <v>15131000</v>
      </c>
    </row>
    <row r="13" spans="2:10" ht="17" x14ac:dyDescent="0.2">
      <c r="B13" s="8">
        <v>2017</v>
      </c>
      <c r="C13" s="8" t="s">
        <v>58</v>
      </c>
      <c r="G13" s="8">
        <v>2023</v>
      </c>
      <c r="H13" s="8" t="s">
        <v>56</v>
      </c>
      <c r="I13" s="13">
        <v>140542</v>
      </c>
      <c r="J13" s="10">
        <f t="shared" si="0"/>
        <v>140542000</v>
      </c>
    </row>
    <row r="14" spans="2:10" ht="17" x14ac:dyDescent="0.2">
      <c r="B14" s="8">
        <v>2017</v>
      </c>
      <c r="C14" s="8" t="s">
        <v>59</v>
      </c>
      <c r="G14" s="8">
        <v>2022</v>
      </c>
      <c r="H14" s="8" t="s">
        <v>59</v>
      </c>
      <c r="I14" s="13">
        <v>287273</v>
      </c>
      <c r="J14" s="10">
        <f t="shared" si="0"/>
        <v>287273000</v>
      </c>
    </row>
    <row r="15" spans="2:10" ht="17" x14ac:dyDescent="0.2">
      <c r="B15" s="8">
        <v>2018</v>
      </c>
      <c r="C15" s="8" t="s">
        <v>56</v>
      </c>
      <c r="G15" s="8">
        <v>2022</v>
      </c>
      <c r="H15" s="8" t="s">
        <v>58</v>
      </c>
      <c r="I15" s="13">
        <v>146506</v>
      </c>
      <c r="J15" s="10">
        <f t="shared" si="0"/>
        <v>146506000</v>
      </c>
    </row>
    <row r="16" spans="2:10" ht="17" x14ac:dyDescent="0.2">
      <c r="B16" s="8">
        <v>2018</v>
      </c>
      <c r="C16" s="8" t="s">
        <v>57</v>
      </c>
      <c r="G16" s="8">
        <v>2022</v>
      </c>
      <c r="H16" s="8" t="s">
        <v>57</v>
      </c>
      <c r="I16" s="13">
        <v>117422</v>
      </c>
      <c r="J16" s="10">
        <f t="shared" si="0"/>
        <v>117422000</v>
      </c>
    </row>
    <row r="17" spans="2:10" ht="17" x14ac:dyDescent="0.2">
      <c r="B17" s="8">
        <v>2018</v>
      </c>
      <c r="C17" s="8" t="s">
        <v>58</v>
      </c>
      <c r="G17" s="8">
        <v>2022</v>
      </c>
      <c r="H17" s="8" t="s">
        <v>56</v>
      </c>
      <c r="I17" s="13">
        <v>123884</v>
      </c>
      <c r="J17" s="10">
        <f t="shared" si="0"/>
        <v>123884000</v>
      </c>
    </row>
    <row r="18" spans="2:10" ht="17" x14ac:dyDescent="0.2">
      <c r="B18" s="8">
        <v>2018</v>
      </c>
      <c r="C18" s="8" t="s">
        <v>59</v>
      </c>
      <c r="G18" s="8">
        <v>2021</v>
      </c>
      <c r="H18" s="8" t="s">
        <v>59</v>
      </c>
      <c r="I18" s="13">
        <v>180976</v>
      </c>
      <c r="J18" s="10">
        <f t="shared" si="0"/>
        <v>180976000</v>
      </c>
    </row>
    <row r="19" spans="2:10" ht="17" x14ac:dyDescent="0.2">
      <c r="B19" s="8">
        <v>2019</v>
      </c>
      <c r="C19" s="8" t="s">
        <v>56</v>
      </c>
      <c r="G19" s="8">
        <v>2021</v>
      </c>
      <c r="H19" s="8" t="s">
        <v>58</v>
      </c>
      <c r="I19" s="13">
        <v>76667</v>
      </c>
      <c r="J19" s="10">
        <f t="shared" si="0"/>
        <v>76667000</v>
      </c>
    </row>
    <row r="20" spans="2:10" ht="17" x14ac:dyDescent="0.2">
      <c r="B20" s="8">
        <v>2019</v>
      </c>
      <c r="C20" s="8" t="s">
        <v>57</v>
      </c>
      <c r="G20" s="8">
        <v>2021</v>
      </c>
      <c r="H20" s="8" t="s">
        <v>57</v>
      </c>
      <c r="I20" s="13">
        <v>90145</v>
      </c>
      <c r="J20" s="10">
        <f t="shared" si="0"/>
        <v>90145000</v>
      </c>
    </row>
    <row r="21" spans="2:10" ht="17" x14ac:dyDescent="0.2">
      <c r="B21" s="8">
        <v>2019</v>
      </c>
      <c r="C21" s="8" t="s">
        <v>58</v>
      </c>
      <c r="G21" s="8">
        <v>2021</v>
      </c>
      <c r="H21" s="8" t="s">
        <v>56</v>
      </c>
      <c r="I21" s="13">
        <v>69534</v>
      </c>
      <c r="J21" s="10">
        <f t="shared" si="0"/>
        <v>69534000</v>
      </c>
    </row>
    <row r="22" spans="2:10" ht="17" x14ac:dyDescent="0.2">
      <c r="B22" s="8">
        <v>2019</v>
      </c>
      <c r="C22" s="8" t="s">
        <v>59</v>
      </c>
      <c r="G22" s="8">
        <v>2020</v>
      </c>
      <c r="H22" s="8" t="s">
        <v>59</v>
      </c>
      <c r="I22" s="13">
        <v>57993</v>
      </c>
      <c r="J22" s="10">
        <f t="shared" si="0"/>
        <v>57993000</v>
      </c>
    </row>
    <row r="23" spans="2:10" ht="17" x14ac:dyDescent="0.2">
      <c r="B23" s="8">
        <v>2020</v>
      </c>
      <c r="C23" s="8" t="s">
        <v>56</v>
      </c>
      <c r="G23" s="8">
        <v>2020</v>
      </c>
      <c r="H23" s="8" t="s">
        <v>58</v>
      </c>
      <c r="I23" s="13">
        <v>29230</v>
      </c>
      <c r="J23" s="10">
        <f t="shared" si="0"/>
        <v>29230000</v>
      </c>
    </row>
    <row r="24" spans="2:10" ht="17" x14ac:dyDescent="0.2">
      <c r="B24" s="8">
        <v>2020</v>
      </c>
      <c r="C24" s="8" t="s">
        <v>57</v>
      </c>
      <c r="G24" s="8">
        <v>2020</v>
      </c>
      <c r="H24" s="8" t="s">
        <v>57</v>
      </c>
      <c r="I24" s="13">
        <v>14137</v>
      </c>
      <c r="J24" s="10">
        <f t="shared" si="0"/>
        <v>14137000</v>
      </c>
    </row>
    <row r="25" spans="2:10" ht="17" x14ac:dyDescent="0.2">
      <c r="B25" s="8">
        <v>2020</v>
      </c>
      <c r="C25" s="8" t="s">
        <v>58</v>
      </c>
      <c r="G25" s="8">
        <v>2020</v>
      </c>
      <c r="H25" s="8" t="s">
        <v>56</v>
      </c>
      <c r="I25" s="13">
        <v>16045</v>
      </c>
      <c r="J25" s="10">
        <f t="shared" si="0"/>
        <v>16045000</v>
      </c>
    </row>
    <row r="26" spans="2:10" ht="17" x14ac:dyDescent="0.2">
      <c r="B26" s="8">
        <v>2020</v>
      </c>
      <c r="C26" s="8" t="s">
        <v>59</v>
      </c>
      <c r="G26" s="8">
        <v>2019</v>
      </c>
      <c r="H26" s="8" t="s">
        <v>59</v>
      </c>
      <c r="I26" s="13">
        <v>13927</v>
      </c>
      <c r="J26" s="10">
        <f t="shared" si="0"/>
        <v>13927000</v>
      </c>
    </row>
    <row r="27" spans="2:10" ht="17" x14ac:dyDescent="0.2">
      <c r="B27" s="8">
        <v>2021</v>
      </c>
      <c r="C27" s="8" t="s">
        <v>56</v>
      </c>
      <c r="G27" s="8">
        <v>2019</v>
      </c>
      <c r="H27" s="8" t="s">
        <v>58</v>
      </c>
      <c r="I27" s="13">
        <v>37564</v>
      </c>
      <c r="J27" s="10">
        <f t="shared" si="0"/>
        <v>37564000</v>
      </c>
    </row>
    <row r="28" spans="2:10" ht="17" x14ac:dyDescent="0.2">
      <c r="B28" s="8">
        <v>2021</v>
      </c>
      <c r="C28" s="8" t="s">
        <v>57</v>
      </c>
      <c r="G28" s="8">
        <v>2019</v>
      </c>
      <c r="H28" s="8" t="s">
        <v>57</v>
      </c>
      <c r="I28" s="13">
        <v>4056</v>
      </c>
      <c r="J28" s="10">
        <f t="shared" si="0"/>
        <v>4056000</v>
      </c>
    </row>
    <row r="29" spans="2:10" ht="17" x14ac:dyDescent="0.2">
      <c r="B29" s="8">
        <v>2021</v>
      </c>
      <c r="C29" s="8" t="s">
        <v>58</v>
      </c>
      <c r="G29" s="8">
        <v>2019</v>
      </c>
      <c r="H29" s="8" t="s">
        <v>56</v>
      </c>
      <c r="I29" s="13">
        <v>37746</v>
      </c>
      <c r="J29" s="10">
        <f t="shared" si="0"/>
        <v>37746000</v>
      </c>
    </row>
    <row r="30" spans="2:10" ht="17" x14ac:dyDescent="0.2">
      <c r="B30" s="8">
        <v>2021</v>
      </c>
      <c r="C30" s="8" t="s">
        <v>59</v>
      </c>
      <c r="G30" s="8">
        <v>2018</v>
      </c>
      <c r="H30" s="8" t="s">
        <v>59</v>
      </c>
      <c r="I30" s="13">
        <v>65516</v>
      </c>
      <c r="J30" s="10">
        <f t="shared" si="0"/>
        <v>65516000</v>
      </c>
    </row>
    <row r="31" spans="2:10" ht="17" x14ac:dyDescent="0.2">
      <c r="B31" s="8">
        <v>2022</v>
      </c>
      <c r="C31" s="8" t="s">
        <v>56</v>
      </c>
      <c r="G31" s="8">
        <v>2018</v>
      </c>
      <c r="H31" s="8" t="s">
        <v>58</v>
      </c>
      <c r="I31" s="13">
        <v>53157</v>
      </c>
      <c r="J31" s="10">
        <f t="shared" si="0"/>
        <v>53157000</v>
      </c>
    </row>
    <row r="32" spans="2:10" ht="17" x14ac:dyDescent="0.2">
      <c r="B32" s="8">
        <v>2022</v>
      </c>
      <c r="C32" s="8" t="s">
        <v>57</v>
      </c>
      <c r="G32" s="8">
        <v>2018</v>
      </c>
      <c r="H32" s="8" t="s">
        <v>57</v>
      </c>
      <c r="I32" s="13">
        <v>44189</v>
      </c>
      <c r="J32" s="10">
        <f t="shared" si="0"/>
        <v>44189000</v>
      </c>
    </row>
    <row r="33" spans="2:10" ht="17" x14ac:dyDescent="0.2">
      <c r="B33" s="8">
        <v>2022</v>
      </c>
      <c r="C33" s="8" t="s">
        <v>58</v>
      </c>
      <c r="G33" s="8">
        <v>2018</v>
      </c>
      <c r="H33" s="8" t="s">
        <v>56</v>
      </c>
      <c r="I33" s="13">
        <v>63926</v>
      </c>
      <c r="J33" s="10">
        <f t="shared" si="0"/>
        <v>63926000</v>
      </c>
    </row>
    <row r="34" spans="2:10" ht="17" x14ac:dyDescent="0.2">
      <c r="B34" s="8">
        <v>2022</v>
      </c>
      <c r="C34" s="8" t="s">
        <v>59</v>
      </c>
      <c r="G34" s="8">
        <v>2017</v>
      </c>
      <c r="H34" s="8" t="s">
        <v>59</v>
      </c>
      <c r="I34" s="13">
        <v>81517</v>
      </c>
      <c r="J34" s="10">
        <f t="shared" si="0"/>
        <v>81517000</v>
      </c>
    </row>
    <row r="35" spans="2:10" ht="17" x14ac:dyDescent="0.2">
      <c r="B35" s="8">
        <v>2023</v>
      </c>
      <c r="C35" s="8" t="s">
        <v>56</v>
      </c>
      <c r="G35" s="8">
        <v>2017</v>
      </c>
      <c r="H35" s="8" t="s">
        <v>58</v>
      </c>
      <c r="I35" s="13">
        <v>25632</v>
      </c>
      <c r="J35" s="10">
        <f t="shared" si="0"/>
        <v>25632000</v>
      </c>
    </row>
    <row r="36" spans="2:10" ht="17" x14ac:dyDescent="0.2">
      <c r="B36" s="8">
        <v>2023</v>
      </c>
      <c r="C36" s="8" t="s">
        <v>57</v>
      </c>
      <c r="G36" s="8">
        <v>2017</v>
      </c>
      <c r="H36" s="8" t="s">
        <v>57</v>
      </c>
      <c r="I36" s="13">
        <v>41514</v>
      </c>
      <c r="J36" s="10">
        <f t="shared" si="0"/>
        <v>41514000</v>
      </c>
    </row>
    <row r="37" spans="2:10" ht="17" x14ac:dyDescent="0.2">
      <c r="B37" s="8">
        <v>2023</v>
      </c>
      <c r="C37" s="8" t="s">
        <v>58</v>
      </c>
      <c r="G37" s="8">
        <v>2017</v>
      </c>
      <c r="H37" s="8" t="s">
        <v>56</v>
      </c>
      <c r="I37" s="13">
        <v>33699</v>
      </c>
      <c r="J37" s="10">
        <f t="shared" si="0"/>
        <v>33699000</v>
      </c>
    </row>
    <row r="38" spans="2:10" ht="17" x14ac:dyDescent="0.2">
      <c r="B38" s="8">
        <v>2023</v>
      </c>
      <c r="C38" s="8" t="s">
        <v>59</v>
      </c>
      <c r="G38" s="8">
        <v>2016</v>
      </c>
      <c r="H38" s="8" t="s">
        <v>59</v>
      </c>
      <c r="I38" s="13">
        <v>106902</v>
      </c>
      <c r="J38" s="10">
        <f t="shared" si="0"/>
        <v>106902000</v>
      </c>
    </row>
    <row r="39" spans="2:10" ht="17" x14ac:dyDescent="0.2">
      <c r="B39" s="8">
        <v>2024</v>
      </c>
      <c r="C39" s="8" t="s">
        <v>56</v>
      </c>
      <c r="G39" s="8">
        <v>2016</v>
      </c>
      <c r="H39" s="8" t="s">
        <v>58</v>
      </c>
      <c r="I39" s="13">
        <v>30495</v>
      </c>
      <c r="J39" s="10">
        <f t="shared" si="0"/>
        <v>30495000</v>
      </c>
    </row>
    <row r="40" spans="2:10" ht="17" x14ac:dyDescent="0.2">
      <c r="B40" s="8">
        <v>2024</v>
      </c>
      <c r="C40" s="8" t="s">
        <v>57</v>
      </c>
      <c r="G40" s="8">
        <v>2016</v>
      </c>
      <c r="H40" s="8" t="s">
        <v>57</v>
      </c>
      <c r="I40" s="13">
        <v>35615</v>
      </c>
      <c r="J40" s="10">
        <f t="shared" si="0"/>
        <v>35615000</v>
      </c>
    </row>
    <row r="41" spans="2:10" ht="17" x14ac:dyDescent="0.2">
      <c r="B41" s="8">
        <v>2024</v>
      </c>
      <c r="C41" s="8" t="s">
        <v>58</v>
      </c>
      <c r="G41" s="8">
        <v>2016</v>
      </c>
      <c r="H41" s="8" t="s">
        <v>56</v>
      </c>
      <c r="I41" s="13">
        <v>29714</v>
      </c>
      <c r="J41" s="10">
        <f t="shared" si="0"/>
        <v>29714000</v>
      </c>
    </row>
    <row r="42" spans="2:10" ht="17" x14ac:dyDescent="0.2">
      <c r="B42" s="8">
        <v>2024</v>
      </c>
      <c r="C42" s="8" t="s">
        <v>59</v>
      </c>
      <c r="G42" s="8">
        <v>2015</v>
      </c>
      <c r="H42" s="8" t="s">
        <v>59</v>
      </c>
      <c r="I42" s="13">
        <v>39657</v>
      </c>
      <c r="J42" s="10">
        <f t="shared" si="0"/>
        <v>39657000</v>
      </c>
    </row>
    <row r="43" spans="2:10" ht="17" x14ac:dyDescent="0.2">
      <c r="B43" s="8">
        <v>2025</v>
      </c>
      <c r="C43" s="8" t="s">
        <v>56</v>
      </c>
      <c r="G43" s="8">
        <v>2015</v>
      </c>
      <c r="H43" s="8" t="s">
        <v>58</v>
      </c>
      <c r="I43" s="13">
        <v>25921</v>
      </c>
      <c r="J43" s="10">
        <f t="shared" si="0"/>
        <v>25921000</v>
      </c>
    </row>
    <row r="44" spans="2:10" ht="17" x14ac:dyDescent="0.2">
      <c r="G44" s="8">
        <v>2015</v>
      </c>
      <c r="H44" s="8" t="s">
        <v>57</v>
      </c>
      <c r="I44" s="13">
        <v>14231</v>
      </c>
      <c r="J44" s="10">
        <f t="shared" si="0"/>
        <v>14231000</v>
      </c>
    </row>
    <row r="45" spans="2:10" ht="17" x14ac:dyDescent="0.2">
      <c r="G45" s="8">
        <v>2015</v>
      </c>
      <c r="H45" s="8" t="s">
        <v>56</v>
      </c>
      <c r="I45" s="13">
        <v>4951</v>
      </c>
      <c r="J45" s="10">
        <f t="shared" si="0"/>
        <v>4951000</v>
      </c>
    </row>
  </sheetData>
  <autoFilter ref="G2:I43" xr:uid="{EAEE2D27-F5A7-A347-BBF7-ABB399FB9C91}">
    <sortState xmlns:xlrd2="http://schemas.microsoft.com/office/spreadsheetml/2017/richdata2" ref="G3:I45">
      <sortCondition descending="1" ref="G2:G4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Biernat</dc:creator>
  <cp:lastModifiedBy>Przemysław Biernat</cp:lastModifiedBy>
  <dcterms:created xsi:type="dcterms:W3CDTF">2025-11-20T20:38:11Z</dcterms:created>
  <dcterms:modified xsi:type="dcterms:W3CDTF">2025-11-28T08:25:04Z</dcterms:modified>
</cp:coreProperties>
</file>